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xr:revisionPtr revIDLastSave="0" documentId="8_{D5CA385F-463B-4ECC-92D3-DD5ADF7ADF44}" xr6:coauthVersionLast="47" xr6:coauthVersionMax="47" xr10:uidLastSave="{00000000-0000-0000-0000-000000000000}"/>
  <bookViews>
    <workbookView xWindow="1140" yWindow="1140" windowWidth="2262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F43" i="1"/>
  <c r="F42" i="1"/>
  <c r="F50" i="1" s="1"/>
  <c r="F34" i="1"/>
  <c r="D21" i="1"/>
  <c r="F20" i="1"/>
  <c r="F19" i="1"/>
  <c r="D19" i="1"/>
  <c r="F18" i="1"/>
  <c r="F17" i="1"/>
  <c r="F16" i="1"/>
  <c r="F15" i="1"/>
  <c r="F12" i="1"/>
  <c r="D11" i="1"/>
  <c r="F10" i="1"/>
  <c r="F9" i="1"/>
  <c r="F8" i="1"/>
  <c r="F7" i="1"/>
  <c r="F11" i="1" s="1"/>
  <c r="F5" i="1"/>
  <c r="F4" i="1"/>
  <c r="F6" i="1" s="1"/>
  <c r="F21" i="1" s="1"/>
</calcChain>
</file>

<file path=xl/sharedStrings.xml><?xml version="1.0" encoding="utf-8"?>
<sst xmlns="http://schemas.openxmlformats.org/spreadsheetml/2006/main" count="66" uniqueCount="51">
  <si>
    <t>支出</t>
  </si>
  <si>
    <t>模式</t>
  </si>
  <si>
    <t>明细</t>
  </si>
  <si>
    <t>含税支出（万元,精确到分）</t>
  </si>
  <si>
    <t>税率（%）</t>
  </si>
  <si>
    <t>不含税支出（万元，精确到分）</t>
  </si>
  <si>
    <t>说明</t>
  </si>
  <si>
    <t>投资部分</t>
  </si>
  <si>
    <t>DICT投资</t>
  </si>
  <si>
    <t>政企标准化产品投资</t>
  </si>
  <si>
    <t>小计</t>
  </si>
  <si>
    <t>成本部分</t>
  </si>
  <si>
    <t>合作服务模式</t>
  </si>
  <si>
    <t>ICT维保成本</t>
  </si>
  <si>
    <t>ICT-云计算成本</t>
  </si>
  <si>
    <t>ICT-三化成本</t>
  </si>
  <si>
    <t>ICT成本</t>
  </si>
  <si>
    <t>购销模式</t>
  </si>
  <si>
    <t>设备销售成本</t>
  </si>
  <si>
    <t>其他成本</t>
  </si>
  <si>
    <t>专线装机化成本</t>
  </si>
  <si>
    <t>专线维护成本</t>
  </si>
  <si>
    <t>业务平台维护支撑费-自主集成成本</t>
  </si>
  <si>
    <t>标书打印费</t>
  </si>
  <si>
    <t>中标服务费</t>
  </si>
  <si>
    <t>AI成本</t>
  </si>
  <si>
    <t>其他部分</t>
  </si>
  <si>
    <t>受托代销应付账款</t>
  </si>
  <si>
    <t>合计</t>
  </si>
  <si>
    <t>收入</t>
  </si>
  <si>
    <t>含税收益（万元）</t>
  </si>
  <si>
    <t>不含税收益（万元）</t>
  </si>
  <si>
    <t>投资模式</t>
  </si>
  <si>
    <t>专线收入-新增</t>
  </si>
  <si>
    <t>专线收入-存量</t>
  </si>
  <si>
    <t>ICT收入</t>
  </si>
  <si>
    <t>私有云收入</t>
  </si>
  <si>
    <t>物联网收入</t>
  </si>
  <si>
    <t>ICT-维保收入</t>
  </si>
  <si>
    <t>ICT-5G收入</t>
  </si>
  <si>
    <t>ICT-三化收入</t>
  </si>
  <si>
    <t>设备销售收入</t>
  </si>
  <si>
    <t>受托代销模式</t>
  </si>
  <si>
    <t>受托代销应收账款</t>
  </si>
  <si>
    <t>ICT手续费</t>
  </si>
  <si>
    <t>其他收入</t>
  </si>
  <si>
    <t>AI收入</t>
  </si>
  <si>
    <t>专线收入</t>
  </si>
  <si>
    <t>IDC收入</t>
  </si>
  <si>
    <t>ICT自主集成收入</t>
  </si>
  <si>
    <t>云视讯收入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</si>
</sst>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4"/>
      <color theme="1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4"/>
      <color rgb="FFC00000"/>
      <name val="微软雅黑"/>
      <family val="2"/>
      <charset val="134"/>
    </font>
    <font>
      <sz val="28"/>
      <color theme="1"/>
      <name val="等线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sz val="10"/>
      <color rgb="FFC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54"/>
  <sheetViews>
    <sheetView tabSelected="1" workbookViewId="0">
      <selection activeCell="C52" sqref="C52"/>
    </sheetView>
  </sheetViews>
  <sheetFormatPr defaultColWidth="9" defaultRowHeight="14" x14ac:dyDescent="0.3"/>
  <cols>
    <col min="2" max="2" width="26.6640625" customWidth="1"/>
    <col min="3" max="3" width="47.6640625" customWidth="1"/>
    <col min="4" max="4" width="22.33203125" customWidth="1"/>
    <col min="5" max="5" width="18.4140625" customWidth="1"/>
    <col min="6" max="6" width="31.4140625" customWidth="1"/>
    <col min="7" max="7" width="41.9140625" customWidth="1"/>
    <col min="13" max="13" width="18.25" customWidth="1"/>
    <col min="14" max="14" width="17.75" customWidth="1"/>
    <col min="16" max="16" width="18.6640625" customWidth="1"/>
  </cols>
  <sheetData>
    <row r="2" spans="1:7" ht="19" x14ac:dyDescent="0.45">
      <c r="A2" s="21" t="s">
        <v>0</v>
      </c>
      <c r="B2" s="22"/>
      <c r="C2" s="22"/>
      <c r="D2" s="22"/>
      <c r="E2" s="22"/>
      <c r="F2" s="22"/>
      <c r="G2" s="23"/>
    </row>
    <row r="3" spans="1:7" ht="40" x14ac:dyDescent="0.3">
      <c r="A3" s="19" t="s">
        <v>1</v>
      </c>
      <c r="B3" s="20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9" x14ac:dyDescent="0.3">
      <c r="A4" s="15" t="s">
        <v>7</v>
      </c>
      <c r="B4" s="16"/>
      <c r="C4" s="2" t="s">
        <v>8</v>
      </c>
      <c r="D4" s="2"/>
      <c r="E4" s="2"/>
      <c r="F4" s="2">
        <f>D4/(1+E4)</f>
        <v>0</v>
      </c>
      <c r="G4" s="3"/>
    </row>
    <row r="5" spans="1:7" ht="19" x14ac:dyDescent="0.3">
      <c r="A5" s="17"/>
      <c r="B5" s="18"/>
      <c r="C5" s="2" t="s">
        <v>9</v>
      </c>
      <c r="D5" s="2"/>
      <c r="E5" s="2"/>
      <c r="F5" s="2">
        <f t="shared" ref="F5:F20" si="0">D5/(1+E5)</f>
        <v>0</v>
      </c>
      <c r="G5" s="3"/>
    </row>
    <row r="6" spans="1:7" ht="19" x14ac:dyDescent="0.3">
      <c r="A6" s="19"/>
      <c r="B6" s="20"/>
      <c r="C6" s="2" t="s">
        <v>10</v>
      </c>
      <c r="D6" s="2"/>
      <c r="E6" s="2"/>
      <c r="F6" s="2">
        <f>SUM(F4:F5)</f>
        <v>0</v>
      </c>
      <c r="G6" s="2"/>
    </row>
    <row r="7" spans="1:7" ht="19" x14ac:dyDescent="0.3">
      <c r="A7" s="29" t="s">
        <v>11</v>
      </c>
      <c r="B7" s="29" t="s">
        <v>12</v>
      </c>
      <c r="C7" s="2" t="s">
        <v>13</v>
      </c>
      <c r="D7" s="2">
        <v>53.3</v>
      </c>
      <c r="E7" s="2">
        <v>0.06</v>
      </c>
      <c r="F7" s="2">
        <f t="shared" si="0"/>
        <v>50.283018867924525</v>
      </c>
      <c r="G7" s="2"/>
    </row>
    <row r="8" spans="1:7" ht="19" x14ac:dyDescent="0.3">
      <c r="A8" s="30"/>
      <c r="B8" s="30"/>
      <c r="C8" s="2" t="s">
        <v>14</v>
      </c>
      <c r="D8" s="2"/>
      <c r="E8" s="2"/>
      <c r="F8" s="2">
        <f t="shared" si="0"/>
        <v>0</v>
      </c>
      <c r="G8" s="2"/>
    </row>
    <row r="9" spans="1:7" ht="19" x14ac:dyDescent="0.3">
      <c r="A9" s="30"/>
      <c r="B9" s="30"/>
      <c r="C9" s="2" t="s">
        <v>15</v>
      </c>
      <c r="D9" s="2"/>
      <c r="E9" s="2"/>
      <c r="F9" s="2">
        <f t="shared" si="0"/>
        <v>0</v>
      </c>
      <c r="G9" s="2"/>
    </row>
    <row r="10" spans="1:7" ht="19" x14ac:dyDescent="0.3">
      <c r="A10" s="30"/>
      <c r="B10" s="30"/>
      <c r="C10" s="2" t="s">
        <v>16</v>
      </c>
      <c r="D10" s="2"/>
      <c r="E10" s="2"/>
      <c r="F10" s="2">
        <f t="shared" si="0"/>
        <v>0</v>
      </c>
      <c r="G10" s="2"/>
    </row>
    <row r="11" spans="1:7" ht="19" x14ac:dyDescent="0.3">
      <c r="A11" s="30"/>
      <c r="B11" s="31"/>
      <c r="C11" s="2" t="s">
        <v>10</v>
      </c>
      <c r="D11" s="2">
        <f>SUM(D7:D10)</f>
        <v>53.3</v>
      </c>
      <c r="E11" s="2"/>
      <c r="F11" s="2">
        <f>SUM(F7:F10)</f>
        <v>50.283018867924525</v>
      </c>
      <c r="G11" s="2"/>
    </row>
    <row r="12" spans="1:7" ht="20" x14ac:dyDescent="0.3">
      <c r="A12" s="30"/>
      <c r="B12" s="4" t="s">
        <v>17</v>
      </c>
      <c r="C12" s="2" t="s">
        <v>18</v>
      </c>
      <c r="D12" s="2"/>
      <c r="E12" s="2"/>
      <c r="F12" s="2">
        <f t="shared" si="0"/>
        <v>0</v>
      </c>
      <c r="G12" s="2"/>
    </row>
    <row r="13" spans="1:7" ht="19" x14ac:dyDescent="0.3">
      <c r="A13" s="30"/>
      <c r="B13" s="29" t="s">
        <v>19</v>
      </c>
      <c r="C13" s="2" t="s">
        <v>20</v>
      </c>
      <c r="D13" s="2"/>
      <c r="E13" s="2"/>
      <c r="F13" s="2"/>
      <c r="G13" s="2"/>
    </row>
    <row r="14" spans="1:7" ht="19" x14ac:dyDescent="0.3">
      <c r="A14" s="30"/>
      <c r="B14" s="30"/>
      <c r="C14" s="2" t="s">
        <v>21</v>
      </c>
      <c r="D14" s="2"/>
      <c r="E14" s="2"/>
      <c r="F14" s="2"/>
      <c r="G14" s="5"/>
    </row>
    <row r="15" spans="1:7" ht="19" x14ac:dyDescent="0.3">
      <c r="A15" s="30"/>
      <c r="B15" s="30"/>
      <c r="C15" s="6" t="s">
        <v>22</v>
      </c>
      <c r="D15" s="2"/>
      <c r="E15" s="2"/>
      <c r="F15" s="2">
        <f t="shared" si="0"/>
        <v>0</v>
      </c>
      <c r="G15" s="2"/>
    </row>
    <row r="16" spans="1:7" ht="19" x14ac:dyDescent="0.3">
      <c r="A16" s="30"/>
      <c r="B16" s="30"/>
      <c r="C16" s="2" t="s">
        <v>23</v>
      </c>
      <c r="D16" s="2">
        <v>0.14000000000000001</v>
      </c>
      <c r="E16" s="2">
        <v>0.01</v>
      </c>
      <c r="F16" s="2">
        <f t="shared" si="0"/>
        <v>0.13861386138613863</v>
      </c>
      <c r="G16" s="2"/>
    </row>
    <row r="17" spans="1:7" ht="19" x14ac:dyDescent="0.3">
      <c r="A17" s="30"/>
      <c r="B17" s="30"/>
      <c r="C17" s="2" t="s">
        <v>24</v>
      </c>
      <c r="D17" s="2">
        <v>0.91500000000000004</v>
      </c>
      <c r="E17" s="2">
        <v>0.01</v>
      </c>
      <c r="F17" s="2">
        <f t="shared" si="0"/>
        <v>0.90594059405940597</v>
      </c>
      <c r="G17" s="2"/>
    </row>
    <row r="18" spans="1:7" ht="19" x14ac:dyDescent="0.3">
      <c r="A18" s="30"/>
      <c r="B18" s="30"/>
      <c r="C18" s="2" t="s">
        <v>25</v>
      </c>
      <c r="D18" s="2"/>
      <c r="E18" s="2"/>
      <c r="F18" s="2">
        <f t="shared" si="0"/>
        <v>0</v>
      </c>
      <c r="G18" s="2"/>
    </row>
    <row r="19" spans="1:7" ht="15.65" customHeight="1" x14ac:dyDescent="0.3">
      <c r="A19" s="31"/>
      <c r="B19" s="31"/>
      <c r="C19" s="2" t="s">
        <v>10</v>
      </c>
      <c r="D19" s="2">
        <f>SUM(D14:D18)</f>
        <v>1.0550000000000002</v>
      </c>
      <c r="E19" s="2"/>
      <c r="F19" s="2">
        <f>SUM(F14:F18)</f>
        <v>1.0445544554455446</v>
      </c>
      <c r="G19" s="2"/>
    </row>
    <row r="20" spans="1:7" ht="15.65" customHeight="1" x14ac:dyDescent="0.3">
      <c r="A20" s="24" t="s">
        <v>26</v>
      </c>
      <c r="B20" s="25"/>
      <c r="C20" s="2" t="s">
        <v>27</v>
      </c>
      <c r="D20" s="2"/>
      <c r="E20" s="2"/>
      <c r="F20" s="2">
        <f t="shared" si="0"/>
        <v>0</v>
      </c>
      <c r="G20" s="2"/>
    </row>
    <row r="21" spans="1:7" ht="15.65" customHeight="1" x14ac:dyDescent="0.3">
      <c r="A21" s="24" t="s">
        <v>28</v>
      </c>
      <c r="B21" s="25"/>
      <c r="C21" s="2"/>
      <c r="D21" s="2">
        <f>D6+D11+D19+D20</f>
        <v>54.354999999999997</v>
      </c>
      <c r="E21" s="2"/>
      <c r="F21" s="2">
        <f>F6+F11+F19+F20</f>
        <v>51.327573323370068</v>
      </c>
      <c r="G21" s="2"/>
    </row>
    <row r="22" spans="1:7" ht="15.65" customHeight="1" x14ac:dyDescent="0.3"/>
    <row r="23" spans="1:7" ht="15.65" customHeight="1" x14ac:dyDescent="0.3"/>
    <row r="26" spans="1:7" ht="64.75" customHeight="1" x14ac:dyDescent="0.7">
      <c r="B26" s="26" t="s">
        <v>29</v>
      </c>
      <c r="C26" s="27"/>
      <c r="D26" s="27"/>
      <c r="E26" s="27"/>
      <c r="F26" s="27"/>
      <c r="G26" s="28"/>
    </row>
    <row r="27" spans="1:7" ht="15.65" customHeight="1" x14ac:dyDescent="0.3">
      <c r="B27" s="7" t="s">
        <v>1</v>
      </c>
      <c r="C27" s="7" t="s">
        <v>2</v>
      </c>
      <c r="D27" s="7" t="s">
        <v>30</v>
      </c>
      <c r="E27" s="7" t="s">
        <v>4</v>
      </c>
      <c r="F27" s="7" t="s">
        <v>31</v>
      </c>
      <c r="G27" s="7" t="s">
        <v>6</v>
      </c>
    </row>
    <row r="28" spans="1:7" ht="14.5" x14ac:dyDescent="0.3">
      <c r="B28" s="12" t="s">
        <v>32</v>
      </c>
      <c r="C28" s="8" t="s">
        <v>33</v>
      </c>
      <c r="D28" s="9"/>
      <c r="E28" s="9"/>
      <c r="F28" s="9"/>
      <c r="G28" s="9"/>
    </row>
    <row r="29" spans="1:7" ht="15.65" customHeight="1" x14ac:dyDescent="0.3">
      <c r="B29" s="13"/>
      <c r="C29" s="8" t="s">
        <v>34</v>
      </c>
      <c r="D29" s="9"/>
      <c r="E29" s="9"/>
      <c r="F29" s="9"/>
      <c r="G29" s="9"/>
    </row>
    <row r="30" spans="1:7" ht="15.65" customHeight="1" x14ac:dyDescent="0.3">
      <c r="B30" s="13"/>
      <c r="C30" s="8" t="s">
        <v>35</v>
      </c>
      <c r="D30" s="9"/>
      <c r="E30" s="9"/>
      <c r="F30" s="9"/>
      <c r="G30" s="9"/>
    </row>
    <row r="31" spans="1:7" ht="15.65" customHeight="1" x14ac:dyDescent="0.3">
      <c r="B31" s="13"/>
      <c r="C31" s="8" t="s">
        <v>36</v>
      </c>
      <c r="D31" s="9"/>
      <c r="E31" s="9"/>
      <c r="F31" s="9"/>
      <c r="G31" s="9"/>
    </row>
    <row r="32" spans="1:7" ht="15.65" customHeight="1" x14ac:dyDescent="0.3">
      <c r="B32" s="13"/>
      <c r="C32" s="8" t="s">
        <v>37</v>
      </c>
      <c r="D32" s="9"/>
      <c r="E32" s="9"/>
      <c r="F32" s="9"/>
      <c r="G32" s="9"/>
    </row>
    <row r="33" spans="2:7" ht="14.5" x14ac:dyDescent="0.3">
      <c r="B33" s="14"/>
      <c r="C33" s="8" t="s">
        <v>10</v>
      </c>
      <c r="D33" s="9"/>
      <c r="E33" s="9"/>
      <c r="F33" s="9"/>
      <c r="G33" s="9"/>
    </row>
    <row r="34" spans="2:7" ht="14.5" x14ac:dyDescent="0.3">
      <c r="B34" s="12" t="s">
        <v>12</v>
      </c>
      <c r="C34" s="8" t="s">
        <v>38</v>
      </c>
      <c r="D34" s="9">
        <v>58.65</v>
      </c>
      <c r="E34" s="9">
        <v>0.06</v>
      </c>
      <c r="F34" s="9">
        <f>D34/(1+E34)</f>
        <v>55.330188679245282</v>
      </c>
      <c r="G34" s="9"/>
    </row>
    <row r="35" spans="2:7" ht="15" customHeight="1" x14ac:dyDescent="0.3">
      <c r="B35" s="13"/>
      <c r="C35" s="8" t="s">
        <v>39</v>
      </c>
      <c r="D35" s="9"/>
      <c r="E35" s="9"/>
      <c r="F35" s="9"/>
      <c r="G35" s="9"/>
    </row>
    <row r="36" spans="2:7" ht="15" customHeight="1" x14ac:dyDescent="0.3">
      <c r="B36" s="13"/>
      <c r="C36" s="8" t="s">
        <v>40</v>
      </c>
      <c r="D36" s="9"/>
      <c r="E36" s="9"/>
      <c r="F36" s="9"/>
      <c r="G36" s="9"/>
    </row>
    <row r="37" spans="2:7" ht="15" customHeight="1" x14ac:dyDescent="0.3">
      <c r="B37" s="13"/>
      <c r="C37" s="8" t="s">
        <v>35</v>
      </c>
      <c r="D37" s="9"/>
      <c r="E37" s="9"/>
      <c r="F37" s="9"/>
      <c r="G37" s="9"/>
    </row>
    <row r="38" spans="2:7" ht="15" customHeight="1" x14ac:dyDescent="0.3">
      <c r="B38" s="14"/>
      <c r="C38" s="8" t="s">
        <v>10</v>
      </c>
      <c r="D38" s="9"/>
      <c r="E38" s="9"/>
      <c r="F38" s="9"/>
      <c r="G38" s="9"/>
    </row>
    <row r="39" spans="2:7" ht="15" customHeight="1" x14ac:dyDescent="0.3">
      <c r="B39" s="7" t="s">
        <v>17</v>
      </c>
      <c r="C39" s="8" t="s">
        <v>41</v>
      </c>
      <c r="D39" s="9"/>
      <c r="E39" s="9"/>
      <c r="F39" s="9"/>
      <c r="G39" s="9"/>
    </row>
    <row r="40" spans="2:7" ht="15" customHeight="1" x14ac:dyDescent="0.3">
      <c r="B40" s="12" t="s">
        <v>42</v>
      </c>
      <c r="C40" s="8" t="s">
        <v>43</v>
      </c>
      <c r="D40" s="10"/>
      <c r="E40" s="10"/>
      <c r="F40" s="10"/>
      <c r="G40" s="10"/>
    </row>
    <row r="41" spans="2:7" ht="15.65" customHeight="1" x14ac:dyDescent="0.3">
      <c r="B41" s="14"/>
      <c r="C41" s="8" t="s">
        <v>44</v>
      </c>
      <c r="D41" s="10"/>
      <c r="E41" s="10"/>
      <c r="F41" s="10"/>
      <c r="G41" s="10"/>
    </row>
    <row r="42" spans="2:7" ht="15.65" customHeight="1" x14ac:dyDescent="0.3">
      <c r="B42" s="12" t="s">
        <v>45</v>
      </c>
      <c r="C42" s="8" t="s">
        <v>46</v>
      </c>
      <c r="D42" s="10">
        <v>2.5</v>
      </c>
      <c r="E42" s="9">
        <v>0.06</v>
      </c>
      <c r="F42" s="9">
        <f>D42/(1+E42)</f>
        <v>2.3584905660377355</v>
      </c>
      <c r="G42" s="10"/>
    </row>
    <row r="43" spans="2:7" ht="15.65" customHeight="1" x14ac:dyDescent="0.3">
      <c r="B43" s="13"/>
      <c r="C43" s="8" t="s">
        <v>47</v>
      </c>
      <c r="D43" s="9"/>
      <c r="E43" s="9"/>
      <c r="F43" s="9">
        <f>D43/(1+E43)</f>
        <v>0</v>
      </c>
      <c r="G43" s="10"/>
    </row>
    <row r="44" spans="2:7" ht="15.65" customHeight="1" x14ac:dyDescent="0.3">
      <c r="B44" s="13"/>
      <c r="C44" s="8" t="s">
        <v>48</v>
      </c>
      <c r="D44" s="10"/>
      <c r="E44" s="10"/>
      <c r="F44" s="10"/>
      <c r="G44" s="10"/>
    </row>
    <row r="45" spans="2:7" ht="15.65" customHeight="1" x14ac:dyDescent="0.3">
      <c r="B45" s="13"/>
      <c r="C45" s="8" t="s">
        <v>37</v>
      </c>
      <c r="D45" s="10"/>
      <c r="E45" s="10"/>
      <c r="F45" s="10"/>
      <c r="G45" s="10"/>
    </row>
    <row r="46" spans="2:7" ht="15" customHeight="1" x14ac:dyDescent="0.3">
      <c r="B46" s="13"/>
      <c r="C46" s="11" t="s">
        <v>49</v>
      </c>
      <c r="D46" s="10"/>
      <c r="E46" s="10"/>
      <c r="F46" s="10"/>
      <c r="G46" s="10"/>
    </row>
    <row r="47" spans="2:7" ht="16.25" customHeight="1" x14ac:dyDescent="0.3">
      <c r="B47" s="13"/>
      <c r="C47" s="8" t="s">
        <v>50</v>
      </c>
      <c r="D47" s="10"/>
      <c r="E47" s="10"/>
      <c r="F47" s="10"/>
      <c r="G47" s="10"/>
    </row>
    <row r="48" spans="2:7" ht="15" customHeight="1" x14ac:dyDescent="0.3">
      <c r="B48" s="13"/>
      <c r="C48" s="8" t="s">
        <v>46</v>
      </c>
      <c r="D48" s="10"/>
      <c r="E48" s="10"/>
      <c r="F48" s="10"/>
      <c r="G48" s="10"/>
    </row>
    <row r="49" spans="2:7" ht="15" customHeight="1" x14ac:dyDescent="0.3">
      <c r="B49" s="14"/>
      <c r="C49" s="8" t="s">
        <v>10</v>
      </c>
      <c r="D49" s="10"/>
      <c r="E49" s="10"/>
      <c r="F49" s="10"/>
      <c r="G49" s="10"/>
    </row>
    <row r="50" spans="2:7" ht="15" customHeight="1" x14ac:dyDescent="0.3">
      <c r="B50" s="7" t="s">
        <v>28</v>
      </c>
      <c r="C50" s="10"/>
      <c r="D50" s="10">
        <f>D42+D34</f>
        <v>61.15</v>
      </c>
      <c r="E50" s="10"/>
      <c r="F50" s="10">
        <f>F42+F34</f>
        <v>57.688679245283019</v>
      </c>
      <c r="G50" s="10"/>
    </row>
    <row r="51" spans="2:7" ht="15" customHeight="1" x14ac:dyDescent="0.3"/>
    <row r="52" spans="2:7" ht="15" customHeight="1" x14ac:dyDescent="0.3"/>
    <row r="53" spans="2:7" ht="15" customHeight="1" x14ac:dyDescent="0.3"/>
    <row r="54" spans="2:7" ht="15" customHeight="1" x14ac:dyDescent="0.3"/>
  </sheetData>
  <mergeCells count="13">
    <mergeCell ref="A2:G2"/>
    <mergeCell ref="A3:B3"/>
    <mergeCell ref="A20:B20"/>
    <mergeCell ref="A21:B21"/>
    <mergeCell ref="B26:G26"/>
    <mergeCell ref="A7:A19"/>
    <mergeCell ref="B7:B11"/>
    <mergeCell ref="B13:B19"/>
    <mergeCell ref="B28:B33"/>
    <mergeCell ref="B34:B38"/>
    <mergeCell ref="B40:B41"/>
    <mergeCell ref="B42:B49"/>
    <mergeCell ref="A4:B6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新月</dc:creator>
  <cp:lastModifiedBy>shuyue han</cp:lastModifiedBy>
  <dcterms:created xsi:type="dcterms:W3CDTF">2015-06-05T18:17:00Z</dcterms:created>
  <dcterms:modified xsi:type="dcterms:W3CDTF">2026-09-11T09:00:48Z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2AB2FC88C6E343F9AA23608A2F8A0296_12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