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xr:revisionPtr revIDLastSave="0" documentId="8_{018B52DE-766A-4626-9014-9C3D8471422B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填表说明" sheetId="8" r:id="rId1"/>
    <sheet name="政企项目投资效益评估表" sheetId="4" r:id="rId2"/>
    <sheet name="折旧和摊销计算表" sheetId="7" r:id="rId3"/>
  </sheets>
  <definedNames>
    <definedName name="_GoBack" localSheetId="0">填表说明!#REF!</definedName>
    <definedName name="_xlnm.Print_Area" localSheetId="1">政企项目投资效益评估表!$A$1:$L$72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2" i="7" l="1"/>
  <c r="O82" i="7" s="1"/>
  <c r="O81" i="7"/>
  <c r="N81" i="7" s="1"/>
  <c r="N80" i="7"/>
  <c r="M80" i="7"/>
  <c r="M79" i="7"/>
  <c r="L79" i="7" s="1"/>
  <c r="L78" i="7"/>
  <c r="K78" i="7" s="1"/>
  <c r="K77" i="7"/>
  <c r="J77" i="7" s="1"/>
  <c r="J76" i="7"/>
  <c r="I76" i="7" s="1"/>
  <c r="I75" i="7"/>
  <c r="H75" i="7"/>
  <c r="J75" i="7" s="1"/>
  <c r="H74" i="7"/>
  <c r="G74" i="7" s="1"/>
  <c r="H73" i="7"/>
  <c r="G73" i="7"/>
  <c r="F73" i="7"/>
  <c r="F72" i="7"/>
  <c r="E72" i="7"/>
  <c r="D71" i="7"/>
  <c r="F68" i="7"/>
  <c r="E68" i="7"/>
  <c r="P66" i="7"/>
  <c r="O66" i="7"/>
  <c r="P65" i="7"/>
  <c r="Q65" i="7" s="1"/>
  <c r="O65" i="7"/>
  <c r="N65" i="7"/>
  <c r="N64" i="7"/>
  <c r="M64" i="7" s="1"/>
  <c r="M63" i="7"/>
  <c r="L63" i="7" s="1"/>
  <c r="L62" i="7"/>
  <c r="K62" i="7"/>
  <c r="K61" i="7"/>
  <c r="J61" i="7"/>
  <c r="K60" i="7"/>
  <c r="J60" i="7"/>
  <c r="I60" i="7"/>
  <c r="I59" i="7"/>
  <c r="H59" i="7" s="1"/>
  <c r="I58" i="7"/>
  <c r="H58" i="7"/>
  <c r="G58" i="7"/>
  <c r="H57" i="7"/>
  <c r="G57" i="7"/>
  <c r="F57" i="7"/>
  <c r="F56" i="7"/>
  <c r="E56" i="7" s="1"/>
  <c r="D55" i="7"/>
  <c r="P50" i="7"/>
  <c r="O50" i="7"/>
  <c r="O49" i="7"/>
  <c r="N49" i="7"/>
  <c r="N48" i="7"/>
  <c r="M48" i="7"/>
  <c r="M47" i="7"/>
  <c r="L47" i="7"/>
  <c r="N47" i="7" s="1"/>
  <c r="L46" i="7"/>
  <c r="K46" i="7"/>
  <c r="K45" i="7"/>
  <c r="J45" i="7" s="1"/>
  <c r="J44" i="7"/>
  <c r="I44" i="7"/>
  <c r="I43" i="7"/>
  <c r="H43" i="7"/>
  <c r="J43" i="7" s="1"/>
  <c r="H42" i="7"/>
  <c r="G42" i="7"/>
  <c r="G41" i="7"/>
  <c r="F41" i="7"/>
  <c r="F40" i="7"/>
  <c r="E40" i="7"/>
  <c r="D39" i="7"/>
  <c r="P34" i="7"/>
  <c r="O34" i="7" s="1"/>
  <c r="O33" i="7"/>
  <c r="N33" i="7"/>
  <c r="N32" i="7"/>
  <c r="M32" i="7"/>
  <c r="M31" i="7"/>
  <c r="L31" i="7" s="1"/>
  <c r="L30" i="7"/>
  <c r="K30" i="7"/>
  <c r="K29" i="7"/>
  <c r="J29" i="7"/>
  <c r="J28" i="7"/>
  <c r="I28" i="7"/>
  <c r="I27" i="7"/>
  <c r="H27" i="7" s="1"/>
  <c r="H26" i="7"/>
  <c r="G26" i="7"/>
  <c r="G25" i="7"/>
  <c r="F25" i="7" s="1"/>
  <c r="F24" i="7"/>
  <c r="F20" i="7" s="1"/>
  <c r="E24" i="7"/>
  <c r="D23" i="7"/>
  <c r="P18" i="7"/>
  <c r="O18" i="7"/>
  <c r="O17" i="7"/>
  <c r="N17" i="7"/>
  <c r="N16" i="7"/>
  <c r="M16" i="7"/>
  <c r="M15" i="7"/>
  <c r="L15" i="7"/>
  <c r="L14" i="7"/>
  <c r="K14" i="7"/>
  <c r="K13" i="7"/>
  <c r="J13" i="7"/>
  <c r="J12" i="7"/>
  <c r="I12" i="7"/>
  <c r="I11" i="7"/>
  <c r="H11" i="7"/>
  <c r="H10" i="7"/>
  <c r="G10" i="7"/>
  <c r="G9" i="7"/>
  <c r="F9" i="7" s="1"/>
  <c r="F8" i="7"/>
  <c r="E8" i="7"/>
  <c r="D7" i="7"/>
  <c r="B65" i="4"/>
  <c r="C65" i="4" s="1"/>
  <c r="D65" i="4" s="1"/>
  <c r="E65" i="4" s="1"/>
  <c r="L57" i="4"/>
  <c r="L54" i="4"/>
  <c r="K48" i="4"/>
  <c r="J48" i="4"/>
  <c r="H48" i="4"/>
  <c r="K47" i="4"/>
  <c r="J47" i="4"/>
  <c r="H47" i="4"/>
  <c r="K46" i="4"/>
  <c r="K42" i="4" s="1"/>
  <c r="J46" i="4"/>
  <c r="H46" i="4"/>
  <c r="K45" i="4"/>
  <c r="J45" i="4"/>
  <c r="H45" i="4"/>
  <c r="K44" i="4"/>
  <c r="J44" i="4"/>
  <c r="H44" i="4"/>
  <c r="K43" i="4"/>
  <c r="J43" i="4"/>
  <c r="H43" i="4"/>
  <c r="J42" i="4"/>
  <c r="H42" i="4"/>
  <c r="G42" i="4"/>
  <c r="F42" i="4"/>
  <c r="K41" i="4"/>
  <c r="J41" i="4"/>
  <c r="H41" i="4"/>
  <c r="K40" i="4"/>
  <c r="J40" i="4"/>
  <c r="H40" i="4"/>
  <c r="K39" i="4"/>
  <c r="J39" i="4"/>
  <c r="H39" i="4"/>
  <c r="K38" i="4"/>
  <c r="J38" i="4"/>
  <c r="H38" i="4"/>
  <c r="G38" i="4"/>
  <c r="F38" i="4"/>
  <c r="K37" i="4"/>
  <c r="J37" i="4"/>
  <c r="H37" i="4"/>
  <c r="R36" i="4"/>
  <c r="K36" i="4"/>
  <c r="J36" i="4"/>
  <c r="H36" i="4"/>
  <c r="K35" i="4"/>
  <c r="J35" i="4"/>
  <c r="H35" i="4"/>
  <c r="K34" i="4"/>
  <c r="K32" i="4" s="1"/>
  <c r="J34" i="4"/>
  <c r="J32" i="4" s="1"/>
  <c r="J49" i="4" s="1"/>
  <c r="H34" i="4"/>
  <c r="K33" i="4"/>
  <c r="J33" i="4"/>
  <c r="H33" i="4"/>
  <c r="G32" i="4"/>
  <c r="G49" i="4" s="1"/>
  <c r="F32" i="4"/>
  <c r="H32" i="4" s="1"/>
  <c r="G31" i="4"/>
  <c r="K30" i="4"/>
  <c r="J30" i="4"/>
  <c r="H30" i="4"/>
  <c r="K29" i="4"/>
  <c r="J29" i="4"/>
  <c r="G29" i="4"/>
  <c r="F29" i="4"/>
  <c r="H29" i="4" s="1"/>
  <c r="K28" i="4"/>
  <c r="K25" i="4" s="1"/>
  <c r="J28" i="4"/>
  <c r="J25" i="4" s="1"/>
  <c r="H28" i="4"/>
  <c r="K27" i="4"/>
  <c r="J27" i="4"/>
  <c r="H27" i="4"/>
  <c r="K26" i="4"/>
  <c r="J26" i="4"/>
  <c r="H26" i="4"/>
  <c r="G25" i="4"/>
  <c r="F25" i="4"/>
  <c r="H25" i="4" s="1"/>
  <c r="K24" i="4"/>
  <c r="J24" i="4"/>
  <c r="H24" i="4"/>
  <c r="K23" i="4"/>
  <c r="J23" i="4"/>
  <c r="H23" i="4"/>
  <c r="K22" i="4"/>
  <c r="J22" i="4"/>
  <c r="H22" i="4"/>
  <c r="K21" i="4"/>
  <c r="J21" i="4"/>
  <c r="H21" i="4"/>
  <c r="K20" i="4"/>
  <c r="J20" i="4"/>
  <c r="H20" i="4"/>
  <c r="K19" i="4"/>
  <c r="K18" i="4" s="1"/>
  <c r="K31" i="4" s="1"/>
  <c r="J19" i="4"/>
  <c r="H19" i="4"/>
  <c r="G18" i="4"/>
  <c r="F18" i="4"/>
  <c r="F31" i="4" s="1"/>
  <c r="H31" i="4" s="1"/>
  <c r="G17" i="4"/>
  <c r="H17" i="4" s="1"/>
  <c r="F17" i="4"/>
  <c r="R16" i="4"/>
  <c r="K16" i="4"/>
  <c r="J16" i="4"/>
  <c r="H16" i="4"/>
  <c r="K15" i="4"/>
  <c r="J15" i="4"/>
  <c r="H15" i="4"/>
  <c r="K14" i="4"/>
  <c r="J14" i="4"/>
  <c r="H14" i="4"/>
  <c r="K13" i="4"/>
  <c r="J13" i="4"/>
  <c r="H13" i="4"/>
  <c r="K12" i="4"/>
  <c r="J12" i="4"/>
  <c r="H12" i="4"/>
  <c r="K11" i="4"/>
  <c r="J11" i="4"/>
  <c r="H11" i="4"/>
  <c r="K10" i="4"/>
  <c r="J10" i="4"/>
  <c r="H10" i="4"/>
  <c r="K9" i="4"/>
  <c r="J9" i="4"/>
  <c r="H9" i="4"/>
  <c r="K8" i="4"/>
  <c r="J8" i="4"/>
  <c r="J17" i="4" s="1"/>
  <c r="H8" i="4"/>
  <c r="K7" i="4"/>
  <c r="J7" i="4"/>
  <c r="H7" i="4"/>
  <c r="E52" i="7" l="1"/>
  <c r="G56" i="7"/>
  <c r="G52" i="7" s="1"/>
  <c r="M45" i="7"/>
  <c r="F65" i="4"/>
  <c r="E66" i="4"/>
  <c r="Q66" i="7"/>
  <c r="C66" i="4"/>
  <c r="E20" i="7"/>
  <c r="H24" i="7"/>
  <c r="D66" i="4"/>
  <c r="G24" i="7"/>
  <c r="K12" i="7"/>
  <c r="H25" i="7"/>
  <c r="L45" i="7"/>
  <c r="I74" i="7"/>
  <c r="M14" i="7"/>
  <c r="N14" i="7"/>
  <c r="K49" i="4"/>
  <c r="N63" i="7"/>
  <c r="I42" i="7"/>
  <c r="L29" i="7"/>
  <c r="M29" i="7"/>
  <c r="N31" i="7"/>
  <c r="F36" i="7"/>
  <c r="O16" i="7"/>
  <c r="Q16" i="7" s="1"/>
  <c r="H41" i="7"/>
  <c r="O47" i="7"/>
  <c r="K11" i="7"/>
  <c r="J11" i="7"/>
  <c r="P16" i="7"/>
  <c r="J18" i="4"/>
  <c r="J31" i="4" s="1"/>
  <c r="G4" i="4" s="1"/>
  <c r="M54" i="4" s="1"/>
  <c r="I26" i="7"/>
  <c r="I57" i="7"/>
  <c r="J27" i="7"/>
  <c r="K27" i="7" s="1"/>
  <c r="K43" i="7"/>
  <c r="K76" i="7"/>
  <c r="L43" i="7"/>
  <c r="L77" i="7"/>
  <c r="Q18" i="7"/>
  <c r="P33" i="7"/>
  <c r="P64" i="7"/>
  <c r="O64" i="7"/>
  <c r="T34" i="7"/>
  <c r="U34" i="7" s="1"/>
  <c r="Q34" i="7"/>
  <c r="R34" i="7"/>
  <c r="S34" i="7"/>
  <c r="M30" i="7"/>
  <c r="N15" i="7"/>
  <c r="N30" i="7"/>
  <c r="H9" i="7"/>
  <c r="O48" i="7"/>
  <c r="F49" i="4"/>
  <c r="H49" i="4" s="1"/>
  <c r="M28" i="7"/>
  <c r="L28" i="7"/>
  <c r="K28" i="7"/>
  <c r="K44" i="7"/>
  <c r="K17" i="4"/>
  <c r="I4" i="4" s="1"/>
  <c r="B55" i="4" s="1"/>
  <c r="I10" i="7"/>
  <c r="L13" i="7"/>
  <c r="L44" i="7"/>
  <c r="L60" i="7"/>
  <c r="N60" i="7" s="1"/>
  <c r="M60" i="7"/>
  <c r="J10" i="7"/>
  <c r="M13" i="7"/>
  <c r="J58" i="7"/>
  <c r="H18" i="4"/>
  <c r="E32" i="4" s="1"/>
  <c r="P17" i="7"/>
  <c r="O32" i="7"/>
  <c r="K58" i="7"/>
  <c r="M46" i="7"/>
  <c r="P49" i="7"/>
  <c r="L58" i="7"/>
  <c r="M58" i="7"/>
  <c r="M61" i="7"/>
  <c r="L61" i="7"/>
  <c r="E36" i="7"/>
  <c r="G40" i="7"/>
  <c r="J59" i="7"/>
  <c r="M78" i="7"/>
  <c r="S50" i="7"/>
  <c r="N79" i="7"/>
  <c r="E4" i="7"/>
  <c r="R50" i="7"/>
  <c r="F52" i="7"/>
  <c r="P81" i="7"/>
  <c r="F4" i="7"/>
  <c r="F2" i="7" s="1"/>
  <c r="C58" i="4" s="1"/>
  <c r="Q50" i="7"/>
  <c r="G8" i="7"/>
  <c r="H8" i="7"/>
  <c r="R65" i="7"/>
  <c r="Q82" i="7"/>
  <c r="R82" i="7" s="1"/>
  <c r="K75" i="7"/>
  <c r="L75" i="7"/>
  <c r="I73" i="7"/>
  <c r="J73" i="7"/>
  <c r="K73" i="7"/>
  <c r="M62" i="7"/>
  <c r="L73" i="7"/>
  <c r="N62" i="7"/>
  <c r="G72" i="7"/>
  <c r="O80" i="7"/>
  <c r="R81" i="7" l="1"/>
  <c r="N28" i="7"/>
  <c r="O28" i="7" s="1"/>
  <c r="P47" i="7"/>
  <c r="K59" i="7"/>
  <c r="P48" i="7"/>
  <c r="I25" i="7"/>
  <c r="Q48" i="7"/>
  <c r="T48" i="7" s="1"/>
  <c r="L12" i="7"/>
  <c r="M12" i="7"/>
  <c r="R48" i="7"/>
  <c r="O30" i="7"/>
  <c r="R66" i="7"/>
  <c r="S48" i="7"/>
  <c r="P30" i="7"/>
  <c r="G36" i="7"/>
  <c r="I40" i="7"/>
  <c r="I36" i="7" s="1"/>
  <c r="J57" i="7"/>
  <c r="K57" i="7"/>
  <c r="H40" i="7"/>
  <c r="O60" i="7"/>
  <c r="P60" i="7"/>
  <c r="C62" i="4"/>
  <c r="C59" i="4"/>
  <c r="Q81" i="7"/>
  <c r="P15" i="7"/>
  <c r="Q15" i="7"/>
  <c r="R15" i="7" s="1"/>
  <c r="J26" i="7"/>
  <c r="O45" i="7"/>
  <c r="S65" i="7"/>
  <c r="Q64" i="7"/>
  <c r="R64" i="7" s="1"/>
  <c r="L11" i="7"/>
  <c r="Q17" i="7"/>
  <c r="L27" i="7"/>
  <c r="P32" i="7"/>
  <c r="N78" i="7"/>
  <c r="M43" i="7"/>
  <c r="S82" i="7"/>
  <c r="E2" i="7"/>
  <c r="V34" i="7"/>
  <c r="N45" i="7"/>
  <c r="R16" i="7"/>
  <c r="B66" i="4"/>
  <c r="L55" i="4"/>
  <c r="M55" i="4" s="1"/>
  <c r="O62" i="7"/>
  <c r="P62" i="7"/>
  <c r="O15" i="7"/>
  <c r="M73" i="7"/>
  <c r="T50" i="7"/>
  <c r="P80" i="7"/>
  <c r="I9" i="7"/>
  <c r="H20" i="7"/>
  <c r="H4" i="7"/>
  <c r="N58" i="7"/>
  <c r="I24" i="7"/>
  <c r="H72" i="7"/>
  <c r="G68" i="7"/>
  <c r="G4" i="7"/>
  <c r="G2" i="7" s="1"/>
  <c r="D58" i="4" s="1"/>
  <c r="I8" i="7"/>
  <c r="N13" i="7"/>
  <c r="J42" i="7"/>
  <c r="J24" i="7"/>
  <c r="K24" i="7" s="1"/>
  <c r="K10" i="7"/>
  <c r="O14" i="7"/>
  <c r="N73" i="7"/>
  <c r="R18" i="7"/>
  <c r="L76" i="7"/>
  <c r="S18" i="7"/>
  <c r="M76" i="7"/>
  <c r="N76" i="7" s="1"/>
  <c r="M75" i="7"/>
  <c r="N61" i="7"/>
  <c r="T18" i="7"/>
  <c r="O31" i="7"/>
  <c r="Q49" i="7"/>
  <c r="M77" i="7"/>
  <c r="G20" i="7"/>
  <c r="H56" i="7"/>
  <c r="I56" i="7" s="1"/>
  <c r="M44" i="7"/>
  <c r="O44" i="7" s="1"/>
  <c r="O79" i="7"/>
  <c r="N46" i="7"/>
  <c r="N44" i="7"/>
  <c r="J74" i="7"/>
  <c r="P79" i="7"/>
  <c r="Q79" i="7" s="1"/>
  <c r="R79" i="7" s="1"/>
  <c r="O46" i="7"/>
  <c r="O63" i="7"/>
  <c r="K4" i="4"/>
  <c r="B56" i="4" s="1"/>
  <c r="I41" i="7"/>
  <c r="N29" i="7"/>
  <c r="G65" i="4"/>
  <c r="F66" i="4"/>
  <c r="Q33" i="7"/>
  <c r="R33" i="7"/>
  <c r="S15" i="7" l="1"/>
  <c r="P28" i="7"/>
  <c r="L26" i="7"/>
  <c r="T15" i="7"/>
  <c r="I52" i="7"/>
  <c r="J56" i="7"/>
  <c r="J52" i="7" s="1"/>
  <c r="K56" i="7"/>
  <c r="K52" i="7" s="1"/>
  <c r="U48" i="7"/>
  <c r="V48" i="7" s="1"/>
  <c r="K20" i="7"/>
  <c r="L24" i="7"/>
  <c r="L20" i="7" s="1"/>
  <c r="I4" i="7"/>
  <c r="J8" i="7"/>
  <c r="J4" i="7" s="1"/>
  <c r="K40" i="7"/>
  <c r="R49" i="7"/>
  <c r="S49" i="7" s="1"/>
  <c r="O73" i="7"/>
  <c r="P73" i="7" s="1"/>
  <c r="U50" i="7"/>
  <c r="N12" i="7"/>
  <c r="O29" i="7"/>
  <c r="T65" i="7"/>
  <c r="L10" i="7"/>
  <c r="U65" i="7"/>
  <c r="S81" i="7"/>
  <c r="T81" i="7" s="1"/>
  <c r="N11" i="7"/>
  <c r="O11" i="7" s="1"/>
  <c r="V65" i="7"/>
  <c r="W65" i="7" s="1"/>
  <c r="O43" i="7"/>
  <c r="O78" i="7"/>
  <c r="H36" i="7"/>
  <c r="H2" i="7" s="1"/>
  <c r="P31" i="7"/>
  <c r="S64" i="7"/>
  <c r="S66" i="7"/>
  <c r="P44" i="7"/>
  <c r="J9" i="7"/>
  <c r="P14" i="7"/>
  <c r="S16" i="7"/>
  <c r="T16" i="7" s="1"/>
  <c r="L59" i="7"/>
  <c r="L56" i="4"/>
  <c r="M56" i="4" s="1"/>
  <c r="Q62" i="7"/>
  <c r="R62" i="7"/>
  <c r="L25" i="7"/>
  <c r="M25" i="7"/>
  <c r="R17" i="7"/>
  <c r="T17" i="7" s="1"/>
  <c r="K26" i="7"/>
  <c r="M26" i="7" s="1"/>
  <c r="K25" i="7"/>
  <c r="N25" i="7" s="1"/>
  <c r="J41" i="7"/>
  <c r="P63" i="7"/>
  <c r="Q63" i="7"/>
  <c r="H52" i="7"/>
  <c r="O13" i="7"/>
  <c r="I20" i="7"/>
  <c r="S79" i="7"/>
  <c r="R30" i="7"/>
  <c r="U18" i="7"/>
  <c r="V18" i="7"/>
  <c r="M11" i="7"/>
  <c r="P45" i="7"/>
  <c r="Q30" i="7"/>
  <c r="B58" i="4"/>
  <c r="M27" i="7"/>
  <c r="C67" i="4"/>
  <c r="C60" i="4"/>
  <c r="N43" i="7"/>
  <c r="T82" i="7"/>
  <c r="J40" i="7"/>
  <c r="O12" i="7"/>
  <c r="D62" i="4"/>
  <c r="D59" i="4"/>
  <c r="H65" i="4"/>
  <c r="G66" i="4"/>
  <c r="O58" i="7"/>
  <c r="V50" i="7"/>
  <c r="Q60" i="7"/>
  <c r="R60" i="7"/>
  <c r="M10" i="7"/>
  <c r="N10" i="7" s="1"/>
  <c r="S17" i="7"/>
  <c r="N77" i="7"/>
  <c r="Q32" i="7"/>
  <c r="P46" i="7"/>
  <c r="Q46" i="7" s="1"/>
  <c r="J25" i="7"/>
  <c r="Q80" i="7"/>
  <c r="R80" i="7"/>
  <c r="W34" i="7"/>
  <c r="X34" i="7" s="1"/>
  <c r="L57" i="7"/>
  <c r="Q47" i="7"/>
  <c r="K42" i="7"/>
  <c r="H68" i="7"/>
  <c r="I72" i="7"/>
  <c r="J72" i="7"/>
  <c r="J68" i="7" s="1"/>
  <c r="P43" i="7"/>
  <c r="K74" i="7"/>
  <c r="O61" i="7"/>
  <c r="P76" i="7"/>
  <c r="O76" i="7"/>
  <c r="S33" i="7"/>
  <c r="N75" i="7"/>
  <c r="X65" i="7" l="1"/>
  <c r="P61" i="7"/>
  <c r="O10" i="7"/>
  <c r="P10" i="7" s="1"/>
  <c r="S43" i="7"/>
  <c r="T43" i="7" s="1"/>
  <c r="E58" i="4"/>
  <c r="T28" i="7"/>
  <c r="S63" i="7"/>
  <c r="D50" i="7"/>
  <c r="V17" i="7"/>
  <c r="W50" i="7"/>
  <c r="M57" i="7"/>
  <c r="N57" i="7" s="1"/>
  <c r="R44" i="7"/>
  <c r="S44" i="7"/>
  <c r="T44" i="7" s="1"/>
  <c r="Q44" i="7"/>
  <c r="U15" i="7"/>
  <c r="W15" i="7" s="1"/>
  <c r="V15" i="7"/>
  <c r="R43" i="7"/>
  <c r="T32" i="7"/>
  <c r="U32" i="7" s="1"/>
  <c r="Q58" i="7"/>
  <c r="R63" i="7"/>
  <c r="P78" i="7"/>
  <c r="S32" i="7"/>
  <c r="P29" i="7"/>
  <c r="T33" i="7"/>
  <c r="S80" i="7"/>
  <c r="T80" i="7"/>
  <c r="R73" i="7"/>
  <c r="U17" i="7"/>
  <c r="Q29" i="7"/>
  <c r="W48" i="7"/>
  <c r="B62" i="4"/>
  <c r="Q28" i="7"/>
  <c r="U79" i="7"/>
  <c r="Q73" i="7"/>
  <c r="B59" i="4"/>
  <c r="X50" i="7"/>
  <c r="Q14" i="7"/>
  <c r="S46" i="7"/>
  <c r="I68" i="7"/>
  <c r="S28" i="7"/>
  <c r="T64" i="7"/>
  <c r="T79" i="7"/>
  <c r="V79" i="7" s="1"/>
  <c r="K8" i="7"/>
  <c r="Q76" i="7"/>
  <c r="I65" i="4"/>
  <c r="H66" i="4"/>
  <c r="D34" i="7"/>
  <c r="R32" i="7"/>
  <c r="U82" i="7"/>
  <c r="V82" i="7" s="1"/>
  <c r="W82" i="7" s="1"/>
  <c r="K72" i="7"/>
  <c r="L42" i="7"/>
  <c r="M42" i="7" s="1"/>
  <c r="D67" i="4"/>
  <c r="D60" i="4"/>
  <c r="I2" i="7"/>
  <c r="F58" i="4" s="1"/>
  <c r="S30" i="7"/>
  <c r="P12" i="7"/>
  <c r="S62" i="7"/>
  <c r="P58" i="7"/>
  <c r="M59" i="7"/>
  <c r="K36" i="7"/>
  <c r="U33" i="7"/>
  <c r="O26" i="7"/>
  <c r="P26" i="7"/>
  <c r="K41" i="7"/>
  <c r="T49" i="7"/>
  <c r="L74" i="7"/>
  <c r="P11" i="7"/>
  <c r="U16" i="7"/>
  <c r="T66" i="7"/>
  <c r="N26" i="7"/>
  <c r="Q43" i="7"/>
  <c r="O75" i="7"/>
  <c r="L40" i="7"/>
  <c r="U81" i="7"/>
  <c r="V81" i="7" s="1"/>
  <c r="O25" i="7"/>
  <c r="W18" i="7"/>
  <c r="X18" i="7" s="1"/>
  <c r="D18" i="7" s="1"/>
  <c r="N59" i="7"/>
  <c r="R46" i="7"/>
  <c r="K9" i="7"/>
  <c r="L9" i="7"/>
  <c r="D65" i="7"/>
  <c r="N27" i="7"/>
  <c r="L41" i="7"/>
  <c r="M41" i="7"/>
  <c r="J36" i="7"/>
  <c r="M24" i="7"/>
  <c r="M20" i="7" s="1"/>
  <c r="Q45" i="7"/>
  <c r="R45" i="7"/>
  <c r="T45" i="7" s="1"/>
  <c r="R47" i="7"/>
  <c r="O77" i="7"/>
  <c r="R28" i="7"/>
  <c r="Q31" i="7"/>
  <c r="R31" i="7" s="1"/>
  <c r="P25" i="7"/>
  <c r="Q25" i="7"/>
  <c r="P13" i="7"/>
  <c r="L56" i="7"/>
  <c r="C61" i="4"/>
  <c r="C63" i="4"/>
  <c r="C68" i="4" s="1"/>
  <c r="V16" i="7"/>
  <c r="W16" i="7" s="1"/>
  <c r="M56" i="7"/>
  <c r="M52" i="7" s="1"/>
  <c r="S60" i="7"/>
  <c r="J20" i="7"/>
  <c r="S45" i="7"/>
  <c r="V80" i="7" l="1"/>
  <c r="W80" i="7" s="1"/>
  <c r="X80" i="7" s="1"/>
  <c r="D80" i="7" s="1"/>
  <c r="D79" i="7"/>
  <c r="W79" i="7"/>
  <c r="X79" i="7"/>
  <c r="O57" i="7"/>
  <c r="P57" i="7" s="1"/>
  <c r="S25" i="7"/>
  <c r="T25" i="7" s="1"/>
  <c r="U43" i="7"/>
  <c r="D48" i="7"/>
  <c r="U44" i="7"/>
  <c r="V44" i="7" s="1"/>
  <c r="W44" i="7" s="1"/>
  <c r="X44" i="7" s="1"/>
  <c r="D44" i="7" s="1"/>
  <c r="R25" i="7"/>
  <c r="Q12" i="7"/>
  <c r="R12" i="7" s="1"/>
  <c r="T14" i="7"/>
  <c r="U14" i="7"/>
  <c r="V14" i="7" s="1"/>
  <c r="F59" i="4"/>
  <c r="F62" i="4"/>
  <c r="K4" i="7"/>
  <c r="E59" i="4"/>
  <c r="E62" i="4"/>
  <c r="U66" i="7"/>
  <c r="R58" i="7"/>
  <c r="M9" i="7"/>
  <c r="B60" i="4"/>
  <c r="B67" i="4"/>
  <c r="S58" i="7"/>
  <c r="L36" i="7"/>
  <c r="M40" i="7"/>
  <c r="X16" i="7"/>
  <c r="D16" i="7" s="1"/>
  <c r="U49" i="7"/>
  <c r="V49" i="7" s="1"/>
  <c r="W49" i="7" s="1"/>
  <c r="U80" i="7"/>
  <c r="Q26" i="7"/>
  <c r="X48" i="7"/>
  <c r="V32" i="7"/>
  <c r="W32" i="7" s="1"/>
  <c r="S31" i="7"/>
  <c r="D63" i="4"/>
  <c r="D68" i="4" s="1"/>
  <c r="D61" i="4"/>
  <c r="W17" i="7"/>
  <c r="X17" i="7" s="1"/>
  <c r="D17" i="7" s="1"/>
  <c r="U25" i="7"/>
  <c r="V25" i="7" s="1"/>
  <c r="W25" i="7" s="1"/>
  <c r="X25" i="7" s="1"/>
  <c r="D25" i="7" s="1"/>
  <c r="R29" i="7"/>
  <c r="S29" i="7" s="1"/>
  <c r="T29" i="7"/>
  <c r="U29" i="7" s="1"/>
  <c r="Q61" i="7"/>
  <c r="S47" i="7"/>
  <c r="P77" i="7"/>
  <c r="U64" i="7"/>
  <c r="U62" i="7"/>
  <c r="T62" i="7"/>
  <c r="V66" i="7"/>
  <c r="W66" i="7" s="1"/>
  <c r="X66" i="7" s="1"/>
  <c r="D66" i="7" s="1"/>
  <c r="N24" i="7"/>
  <c r="N20" i="7" s="1"/>
  <c r="Q13" i="7"/>
  <c r="R76" i="7"/>
  <c r="L72" i="7"/>
  <c r="M74" i="7"/>
  <c r="U45" i="7"/>
  <c r="N41" i="7"/>
  <c r="R14" i="7"/>
  <c r="S14" i="7" s="1"/>
  <c r="S73" i="7"/>
  <c r="T73" i="7" s="1"/>
  <c r="Q11" i="7"/>
  <c r="Q78" i="7"/>
  <c r="W81" i="7"/>
  <c r="X81" i="7" s="1"/>
  <c r="D81" i="7" s="1"/>
  <c r="J65" i="4"/>
  <c r="I66" i="4"/>
  <c r="Q10" i="7"/>
  <c r="T63" i="7"/>
  <c r="T30" i="7"/>
  <c r="P75" i="7"/>
  <c r="N42" i="7"/>
  <c r="O42" i="7" s="1"/>
  <c r="J2" i="7"/>
  <c r="G58" i="4" s="1"/>
  <c r="K68" i="7"/>
  <c r="M72" i="7"/>
  <c r="M68" i="7" s="1"/>
  <c r="N72" i="7"/>
  <c r="V62" i="7"/>
  <c r="V33" i="7"/>
  <c r="X82" i="7"/>
  <c r="D82" i="7" s="1"/>
  <c r="L8" i="7"/>
  <c r="T46" i="7"/>
  <c r="X15" i="7"/>
  <c r="D15" i="7" s="1"/>
  <c r="L52" i="7"/>
  <c r="N56" i="7"/>
  <c r="O27" i="7"/>
  <c r="U28" i="7"/>
  <c r="T60" i="7"/>
  <c r="U60" i="7" s="1"/>
  <c r="O59" i="7"/>
  <c r="V60" i="7" l="1"/>
  <c r="W60" i="7" s="1"/>
  <c r="X60" i="7" s="1"/>
  <c r="D60" i="7" s="1"/>
  <c r="U73" i="7"/>
  <c r="V73" i="7" s="1"/>
  <c r="W73" i="7" s="1"/>
  <c r="X73" i="7" s="1"/>
  <c r="D73" i="7"/>
  <c r="V29" i="7"/>
  <c r="W29" i="7" s="1"/>
  <c r="X29" i="7" s="1"/>
  <c r="D29" i="7" s="1"/>
  <c r="P42" i="7"/>
  <c r="S42" i="7" s="1"/>
  <c r="T42" i="7" s="1"/>
  <c r="D43" i="7"/>
  <c r="D45" i="7"/>
  <c r="X62" i="7"/>
  <c r="D62" i="7" s="1"/>
  <c r="X14" i="7"/>
  <c r="D14" i="7" s="1"/>
  <c r="V43" i="7"/>
  <c r="K2" i="7"/>
  <c r="G62" i="4"/>
  <c r="G59" i="4"/>
  <c r="P59" i="7"/>
  <c r="Q59" i="7" s="1"/>
  <c r="V45" i="7"/>
  <c r="W45" i="7" s="1"/>
  <c r="N74" i="7"/>
  <c r="X45" i="7"/>
  <c r="U46" i="7"/>
  <c r="V46" i="7" s="1"/>
  <c r="W46" i="7" s="1"/>
  <c r="X46" i="7"/>
  <c r="D46" i="7" s="1"/>
  <c r="W62" i="7"/>
  <c r="X32" i="7"/>
  <c r="D32" i="7" s="1"/>
  <c r="L4" i="7"/>
  <c r="M8" i="7"/>
  <c r="U63" i="7"/>
  <c r="B61" i="4"/>
  <c r="B63" i="4"/>
  <c r="F67" i="4"/>
  <c r="F60" i="4"/>
  <c r="Q42" i="7"/>
  <c r="R42" i="7" s="1"/>
  <c r="O24" i="7"/>
  <c r="X49" i="7"/>
  <c r="D49" i="7" s="1"/>
  <c r="E67" i="4"/>
  <c r="E60" i="4"/>
  <c r="N68" i="7"/>
  <c r="M36" i="7"/>
  <c r="N40" i="7"/>
  <c r="N52" i="7"/>
  <c r="O56" i="7"/>
  <c r="T31" i="7"/>
  <c r="W43" i="7"/>
  <c r="X43" i="7" s="1"/>
  <c r="V63" i="7"/>
  <c r="W63" i="7" s="1"/>
  <c r="X63" i="7" s="1"/>
  <c r="D63" i="7" s="1"/>
  <c r="O72" i="7"/>
  <c r="S12" i="7"/>
  <c r="T12" i="7" s="1"/>
  <c r="U12" i="7" s="1"/>
  <c r="V12" i="7" s="1"/>
  <c r="W12" i="7" s="1"/>
  <c r="X12" i="7" s="1"/>
  <c r="D12" i="7" s="1"/>
  <c r="Q77" i="7"/>
  <c r="T77" i="7" s="1"/>
  <c r="R26" i="7"/>
  <c r="O41" i="7"/>
  <c r="R61" i="7"/>
  <c r="Q57" i="7"/>
  <c r="R57" i="7" s="1"/>
  <c r="S57" i="7" s="1"/>
  <c r="T57" i="7" s="1"/>
  <c r="U57" i="7" s="1"/>
  <c r="V57" i="7" s="1"/>
  <c r="W57" i="7" s="1"/>
  <c r="X57" i="7" s="1"/>
  <c r="D57" i="7" s="1"/>
  <c r="U30" i="7"/>
  <c r="V30" i="7"/>
  <c r="W30" i="7" s="1"/>
  <c r="X30" i="7" s="1"/>
  <c r="K65" i="4"/>
  <c r="K66" i="4" s="1"/>
  <c r="J66" i="4"/>
  <c r="R59" i="7"/>
  <c r="S59" i="7" s="1"/>
  <c r="T59" i="7" s="1"/>
  <c r="R78" i="7"/>
  <c r="N9" i="7"/>
  <c r="V64" i="7"/>
  <c r="L68" i="7"/>
  <c r="T58" i="7"/>
  <c r="U58" i="7" s="1"/>
  <c r="V58" i="7" s="1"/>
  <c r="W58" i="7"/>
  <c r="X58" i="7" s="1"/>
  <c r="D58" i="7" s="1"/>
  <c r="R11" i="7"/>
  <c r="S11" i="7" s="1"/>
  <c r="T11" i="7"/>
  <c r="U11" i="7" s="1"/>
  <c r="V11" i="7" s="1"/>
  <c r="W11" i="7" s="1"/>
  <c r="X11" i="7" s="1"/>
  <c r="D11" i="7" s="1"/>
  <c r="Q75" i="7"/>
  <c r="S76" i="7"/>
  <c r="R77" i="7"/>
  <c r="S77" i="7" s="1"/>
  <c r="T47" i="7"/>
  <c r="U47" i="7"/>
  <c r="R10" i="7"/>
  <c r="W33" i="7"/>
  <c r="X33" i="7" s="1"/>
  <c r="D33" i="7" s="1"/>
  <c r="V28" i="7"/>
  <c r="W28" i="7" s="1"/>
  <c r="P27" i="7"/>
  <c r="O74" i="7"/>
  <c r="W14" i="7"/>
  <c r="R13" i="7"/>
  <c r="T27" i="7" l="1"/>
  <c r="U27" i="7" s="1"/>
  <c r="V27" i="7" s="1"/>
  <c r="W27" i="7" s="1"/>
  <c r="X27" i="7" s="1"/>
  <c r="D27" i="7" s="1"/>
  <c r="X28" i="7"/>
  <c r="D28" i="7"/>
  <c r="U42" i="7"/>
  <c r="V42" i="7" s="1"/>
  <c r="W42" i="7" s="1"/>
  <c r="X42" i="7" s="1"/>
  <c r="D42" i="7" s="1"/>
  <c r="M4" i="7"/>
  <c r="M2" i="7" s="1"/>
  <c r="J58" i="4" s="1"/>
  <c r="N8" i="7"/>
  <c r="T61" i="7"/>
  <c r="O9" i="7"/>
  <c r="O20" i="7"/>
  <c r="P24" i="7"/>
  <c r="S78" i="7"/>
  <c r="T78" i="7"/>
  <c r="U78" i="7" s="1"/>
  <c r="P41" i="7"/>
  <c r="T76" i="7"/>
  <c r="U76" i="7" s="1"/>
  <c r="V76" i="7" s="1"/>
  <c r="W76" i="7" s="1"/>
  <c r="X76" i="7" s="1"/>
  <c r="D76" i="7"/>
  <c r="U59" i="7"/>
  <c r="V59" i="7" s="1"/>
  <c r="W59" i="7" s="1"/>
  <c r="X59" i="7" s="1"/>
  <c r="D59" i="7" s="1"/>
  <c r="L2" i="7"/>
  <c r="I58" i="4" s="1"/>
  <c r="W64" i="7"/>
  <c r="X64" i="7" s="1"/>
  <c r="D64" i="7"/>
  <c r="E61" i="4"/>
  <c r="E63" i="4"/>
  <c r="E68" i="4" s="1"/>
  <c r="V47" i="7"/>
  <c r="W47" i="7" s="1"/>
  <c r="X47" i="7" s="1"/>
  <c r="D47" i="7" s="1"/>
  <c r="F63" i="4"/>
  <c r="F68" i="4" s="1"/>
  <c r="F61" i="4"/>
  <c r="O52" i="7"/>
  <c r="R74" i="7"/>
  <c r="S74" i="7" s="1"/>
  <c r="T74" i="7" s="1"/>
  <c r="U74" i="7" s="1"/>
  <c r="V74" i="7" s="1"/>
  <c r="W74" i="7" s="1"/>
  <c r="X74" i="7" s="1"/>
  <c r="D74" i="7" s="1"/>
  <c r="Q27" i="7"/>
  <c r="R27" i="7" s="1"/>
  <c r="S27" i="7" s="1"/>
  <c r="P56" i="7"/>
  <c r="P52" i="7" s="1"/>
  <c r="U77" i="7"/>
  <c r="V77" i="7" s="1"/>
  <c r="W77" i="7" s="1"/>
  <c r="X77" i="7" s="1"/>
  <c r="D77" i="7" s="1"/>
  <c r="Q56" i="7"/>
  <c r="Q52" i="7" s="1"/>
  <c r="S13" i="7"/>
  <c r="T13" i="7" s="1"/>
  <c r="U13" i="7" s="1"/>
  <c r="V13" i="7" s="1"/>
  <c r="W13" i="7" s="1"/>
  <c r="X13" i="7" s="1"/>
  <c r="D13" i="7"/>
  <c r="N36" i="7"/>
  <c r="O40" i="7"/>
  <c r="S61" i="7"/>
  <c r="O68" i="7"/>
  <c r="S10" i="7"/>
  <c r="T10" i="7" s="1"/>
  <c r="U10" i="7" s="1"/>
  <c r="V10" i="7" s="1"/>
  <c r="W10" i="7" s="1"/>
  <c r="X10" i="7" s="1"/>
  <c r="D10" i="7" s="1"/>
  <c r="P72" i="7"/>
  <c r="U31" i="7"/>
  <c r="V31" i="7" s="1"/>
  <c r="W31" i="7"/>
  <c r="X31" i="7" s="1"/>
  <c r="D31" i="7" s="1"/>
  <c r="P74" i="7"/>
  <c r="Q74" i="7" s="1"/>
  <c r="R75" i="7"/>
  <c r="S75" i="7" s="1"/>
  <c r="T75" i="7" s="1"/>
  <c r="U75" i="7" s="1"/>
  <c r="V75" i="7" s="1"/>
  <c r="W75" i="7" s="1"/>
  <c r="S26" i="7"/>
  <c r="T26" i="7" s="1"/>
  <c r="U26" i="7" s="1"/>
  <c r="V26" i="7" s="1"/>
  <c r="W26" i="7" s="1"/>
  <c r="X26" i="7" s="1"/>
  <c r="D26" i="7" s="1"/>
  <c r="B64" i="4"/>
  <c r="B68" i="4"/>
  <c r="G60" i="4"/>
  <c r="G67" i="4"/>
  <c r="D30" i="7"/>
  <c r="H58" i="4"/>
  <c r="X75" i="7" l="1"/>
  <c r="D75" i="7"/>
  <c r="V78" i="7"/>
  <c r="W78" i="7" s="1"/>
  <c r="X78" i="7" s="1"/>
  <c r="D78" i="7" s="1"/>
  <c r="P20" i="7"/>
  <c r="Q24" i="7"/>
  <c r="P68" i="7"/>
  <c r="U61" i="7"/>
  <c r="V61" i="7" s="1"/>
  <c r="W61" i="7" s="1"/>
  <c r="X61" i="7" s="1"/>
  <c r="D61" i="7" s="1"/>
  <c r="I62" i="4"/>
  <c r="I59" i="4"/>
  <c r="O36" i="7"/>
  <c r="P40" i="7"/>
  <c r="P9" i="7"/>
  <c r="Q9" i="7"/>
  <c r="R9" i="7" s="1"/>
  <c r="S9" i="7"/>
  <c r="T9" i="7" s="1"/>
  <c r="U9" i="7" s="1"/>
  <c r="V9" i="7" s="1"/>
  <c r="W9" i="7" s="1"/>
  <c r="X9" i="7" s="1"/>
  <c r="D9" i="7" s="1"/>
  <c r="H59" i="4"/>
  <c r="H62" i="4"/>
  <c r="N4" i="7"/>
  <c r="N2" i="7" s="1"/>
  <c r="O8" i="7"/>
  <c r="P8" i="7"/>
  <c r="J59" i="4"/>
  <c r="J62" i="4"/>
  <c r="G63" i="4"/>
  <c r="G61" i="4"/>
  <c r="Q41" i="7"/>
  <c r="R41" i="7" s="1"/>
  <c r="S41" i="7" s="1"/>
  <c r="T41" i="7" s="1"/>
  <c r="U41" i="7" s="1"/>
  <c r="V41" i="7" s="1"/>
  <c r="W41" i="7" s="1"/>
  <c r="X41" i="7" s="1"/>
  <c r="D41" i="7" s="1"/>
  <c r="B71" i="4"/>
  <c r="B69" i="4"/>
  <c r="Q72" i="7"/>
  <c r="C64" i="4"/>
  <c r="C70" i="4"/>
  <c r="B70" i="4"/>
  <c r="R56" i="7"/>
  <c r="H60" i="4" l="1"/>
  <c r="H67" i="4"/>
  <c r="R52" i="7"/>
  <c r="S56" i="7"/>
  <c r="D64" i="4"/>
  <c r="D70" i="4" s="1"/>
  <c r="Q68" i="7"/>
  <c r="R72" i="7"/>
  <c r="C69" i="4"/>
  <c r="C71" i="4" s="1"/>
  <c r="J60" i="4"/>
  <c r="J67" i="4"/>
  <c r="O4" i="7"/>
  <c r="O2" i="7" s="1"/>
  <c r="Q8" i="7"/>
  <c r="P36" i="7"/>
  <c r="Q40" i="7"/>
  <c r="I60" i="4"/>
  <c r="I67" i="4"/>
  <c r="G68" i="4"/>
  <c r="Q20" i="7"/>
  <c r="R24" i="7"/>
  <c r="P4" i="7"/>
  <c r="P2" i="7" s="1"/>
  <c r="K58" i="4"/>
  <c r="J63" i="4" l="1"/>
  <c r="J68" i="4" s="1"/>
  <c r="J61" i="4"/>
  <c r="R20" i="7"/>
  <c r="S24" i="7"/>
  <c r="I63" i="4"/>
  <c r="I68" i="4" s="1"/>
  <c r="I61" i="4"/>
  <c r="Q36" i="7"/>
  <c r="R40" i="7"/>
  <c r="Q4" i="7"/>
  <c r="Q2" i="7" s="1"/>
  <c r="R8" i="7"/>
  <c r="D69" i="4"/>
  <c r="D71" i="4"/>
  <c r="R68" i="7"/>
  <c r="S72" i="7"/>
  <c r="E64" i="4"/>
  <c r="S52" i="7"/>
  <c r="T56" i="7"/>
  <c r="K59" i="4"/>
  <c r="K62" i="4"/>
  <c r="L58" i="4"/>
  <c r="H63" i="4"/>
  <c r="H61" i="4"/>
  <c r="H68" i="4" l="1"/>
  <c r="T52" i="7"/>
  <c r="U56" i="7"/>
  <c r="F64" i="4"/>
  <c r="F70" i="4" s="1"/>
  <c r="R4" i="7"/>
  <c r="S8" i="7"/>
  <c r="R36" i="7"/>
  <c r="S40" i="7"/>
  <c r="K60" i="4"/>
  <c r="K67" i="4"/>
  <c r="L67" i="4" s="1"/>
  <c r="L59" i="4"/>
  <c r="E70" i="4"/>
  <c r="S68" i="7"/>
  <c r="T72" i="7"/>
  <c r="E69" i="4"/>
  <c r="E71" i="4"/>
  <c r="S20" i="7"/>
  <c r="T24" i="7"/>
  <c r="T20" i="7" l="1"/>
  <c r="U24" i="7"/>
  <c r="F71" i="4"/>
  <c r="F69" i="4"/>
  <c r="T68" i="7"/>
  <c r="U72" i="7"/>
  <c r="S36" i="7"/>
  <c r="T40" i="7"/>
  <c r="R2" i="7"/>
  <c r="K61" i="4"/>
  <c r="K63" i="4"/>
  <c r="L60" i="4"/>
  <c r="L61" i="4" s="1"/>
  <c r="Q56" i="4" s="1"/>
  <c r="P27" i="4" s="1"/>
  <c r="S4" i="7"/>
  <c r="S2" i="7" s="1"/>
  <c r="T8" i="7"/>
  <c r="G64" i="4"/>
  <c r="G70" i="4"/>
  <c r="U52" i="7"/>
  <c r="V56" i="7"/>
  <c r="V52" i="7" l="1"/>
  <c r="W56" i="7"/>
  <c r="T4" i="7"/>
  <c r="U8" i="7"/>
  <c r="H64" i="4"/>
  <c r="I64" i="4" s="1"/>
  <c r="J64" i="4" s="1"/>
  <c r="K64" i="4" s="1"/>
  <c r="H70" i="4"/>
  <c r="L70" i="4" s="1"/>
  <c r="K68" i="4"/>
  <c r="L68" i="4" s="1"/>
  <c r="L69" i="4" s="1"/>
  <c r="Q57" i="4" s="1"/>
  <c r="P28" i="4" s="1"/>
  <c r="L63" i="4"/>
  <c r="Q55" i="4" s="1"/>
  <c r="T36" i="7"/>
  <c r="U40" i="7"/>
  <c r="U68" i="7"/>
  <c r="V72" i="7"/>
  <c r="G69" i="4"/>
  <c r="U20" i="7"/>
  <c r="V24" i="7"/>
  <c r="U4" i="7" l="1"/>
  <c r="V8" i="7"/>
  <c r="T2" i="7"/>
  <c r="V20" i="7"/>
  <c r="W24" i="7"/>
  <c r="H69" i="4"/>
  <c r="G71" i="4"/>
  <c r="V68" i="7"/>
  <c r="W72" i="7"/>
  <c r="U36" i="7"/>
  <c r="V40" i="7"/>
  <c r="W52" i="7"/>
  <c r="X56" i="7"/>
  <c r="W68" i="7" l="1"/>
  <c r="X72" i="7"/>
  <c r="X52" i="7"/>
  <c r="D52" i="7" s="1"/>
  <c r="D56" i="7"/>
  <c r="V36" i="7"/>
  <c r="W40" i="7"/>
  <c r="I69" i="4"/>
  <c r="I71" i="4"/>
  <c r="H71" i="4"/>
  <c r="W20" i="7"/>
  <c r="X24" i="7"/>
  <c r="V4" i="7"/>
  <c r="V2" i="7" s="1"/>
  <c r="W8" i="7"/>
  <c r="U2" i="7"/>
  <c r="W4" i="7" l="1"/>
  <c r="X8" i="7"/>
  <c r="X20" i="7"/>
  <c r="D20" i="7" s="1"/>
  <c r="D24" i="7"/>
  <c r="J69" i="4"/>
  <c r="W36" i="7"/>
  <c r="X40" i="7"/>
  <c r="X68" i="7"/>
  <c r="D68" i="7" s="1"/>
  <c r="D72" i="7"/>
  <c r="X36" i="7" l="1"/>
  <c r="D36" i="7" s="1"/>
  <c r="D40" i="7"/>
  <c r="K69" i="4"/>
  <c r="K71" i="4"/>
  <c r="W2" i="7"/>
  <c r="J71" i="4"/>
  <c r="X4" i="7"/>
  <c r="D8" i="7"/>
  <c r="X2" i="7" l="1"/>
  <c r="D2" i="7" s="1"/>
  <c r="D4" i="7"/>
  <c r="L71" i="4"/>
  <c r="Q58" i="4" s="1"/>
</calcChain>
</file>

<file path=xl/sharedStrings.xml><?xml version="1.0" encoding="utf-8"?>
<sst xmlns="http://schemas.openxmlformats.org/spreadsheetml/2006/main" count="256" uniqueCount="202">
  <si>
    <r>
      <rPr>
        <b/>
        <sz val="12"/>
        <rFont val="宋体"/>
        <charset val="134"/>
      </rPr>
      <t>一、</t>
    </r>
    <r>
      <rPr>
        <b/>
        <sz val="7"/>
        <rFont val="Times New Roman"/>
        <family val="1"/>
      </rPr>
      <t xml:space="preserve">     </t>
    </r>
    <r>
      <rPr>
        <b/>
        <sz val="12"/>
        <rFont val="宋体"/>
        <charset val="134"/>
      </rPr>
      <t>填写规则</t>
    </r>
  </si>
  <si>
    <r>
      <rPr>
        <sz val="12"/>
        <rFont val="宋体"/>
        <charset val="134"/>
      </rPr>
      <t>1.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“ICT类项目财务价值评估表”共3部分，项目概况、基础数据和效益评估。该表格有自动计算公式，只需填写标黄部分的单元格，严禁修改橙色内容，金额数据单位为万元。</t>
    </r>
  </si>
  <si>
    <r>
      <rPr>
        <sz val="12"/>
        <rFont val="宋体"/>
        <charset val="134"/>
      </rPr>
      <t>2.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首先填写项目基本信息</t>
    </r>
  </si>
  <si>
    <r>
      <rPr>
        <sz val="12"/>
        <rFont val="宋体"/>
        <charset val="134"/>
      </rPr>
      <t>3.在“基础数据”部分，根据项目情况填写投资、收入、成本细项</t>
    </r>
    <r>
      <rPr>
        <b/>
        <sz val="12"/>
        <rFont val="宋体"/>
        <charset val="134"/>
      </rPr>
      <t>含税</t>
    </r>
    <r>
      <rPr>
        <sz val="12"/>
        <rFont val="宋体"/>
        <charset val="134"/>
      </rPr>
      <t>金额及对应税率，税率为经验参考值，可根据项目实际情况进行修正。若某单项指标可能涉及到多种增值税率，在表中无法准确计算出不含税的数据，可直接将结果填写在表中相应位置，模板自动计算不含税金额。</t>
    </r>
  </si>
  <si>
    <r>
      <rPr>
        <sz val="12"/>
        <rFont val="宋体"/>
        <charset val="134"/>
      </rPr>
      <t>4.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在“经济效益评估”中，填写的数据均为</t>
    </r>
    <r>
      <rPr>
        <b/>
        <sz val="12"/>
        <rFont val="宋体"/>
        <charset val="134"/>
      </rPr>
      <t>不含税</t>
    </r>
    <r>
      <rPr>
        <sz val="12"/>
        <rFont val="宋体"/>
        <charset val="134"/>
      </rPr>
      <t>金额
（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）“初始项目投资”即使用</t>
    </r>
    <r>
      <rPr>
        <sz val="12"/>
        <rFont val="Times New Roman"/>
        <family val="1"/>
      </rPr>
      <t>ICT</t>
    </r>
    <r>
      <rPr>
        <sz val="12"/>
        <rFont val="宋体"/>
        <charset val="134"/>
      </rPr>
      <t>切块资金金额，按照实际使用投资按年度分别填写；
（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）“收入”包含该项目直接收益的各项业务年收入累计值，按照实际收入协议期每年列支金额分别填写；
（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）“支出”包含业务维护成本和</t>
    </r>
    <r>
      <rPr>
        <sz val="12"/>
        <rFont val="Times New Roman"/>
        <family val="1"/>
      </rPr>
      <t>IT</t>
    </r>
    <r>
      <rPr>
        <sz val="12"/>
        <rFont val="宋体"/>
        <charset val="134"/>
      </rPr>
      <t>建设成本，业务成本即使用合作模式和购销模式使用的成本费用；
（</t>
    </r>
    <r>
      <rPr>
        <sz val="12"/>
        <rFont val="Times New Roman"/>
        <family val="1"/>
      </rPr>
      <t>4</t>
    </r>
    <r>
      <rPr>
        <sz val="12"/>
        <rFont val="宋体"/>
        <charset val="134"/>
      </rPr>
      <t>）“终端及其他营销资源投入”包含用于该项目营销成本、终端、酬金等其它营销资源等。
（</t>
    </r>
    <r>
      <rPr>
        <sz val="12"/>
        <rFont val="Times New Roman"/>
        <family val="1"/>
      </rPr>
      <t>5</t>
    </r>
    <r>
      <rPr>
        <sz val="12"/>
        <rFont val="宋体"/>
        <charset val="134"/>
      </rPr>
      <t>）对填列金额与基础数据在</t>
    </r>
    <r>
      <rPr>
        <sz val="12"/>
        <rFont val="Times New Roman"/>
        <family val="1"/>
      </rPr>
      <t>M</t>
    </r>
    <r>
      <rPr>
        <sz val="12"/>
        <rFont val="宋体"/>
        <charset val="134"/>
      </rPr>
      <t>列设置校验关系，校验结果应为“</t>
    </r>
    <r>
      <rPr>
        <sz val="12"/>
        <rFont val="Times New Roman"/>
        <family val="1"/>
      </rPr>
      <t>TRUE</t>
    </r>
    <r>
      <rPr>
        <sz val="12"/>
        <rFont val="宋体"/>
        <charset val="134"/>
      </rPr>
      <t>”</t>
    </r>
  </si>
  <si>
    <t>5.折旧和摊销计算表见附表，需填列各类资产投资额及投产月份，表格自动计算折旧额。</t>
  </si>
  <si>
    <r>
      <rPr>
        <b/>
        <sz val="12"/>
        <rFont val="宋体"/>
        <charset val="134"/>
      </rPr>
      <t>二、</t>
    </r>
    <r>
      <rPr>
        <b/>
        <sz val="7"/>
        <rFont val="Times New Roman"/>
        <family val="1"/>
      </rPr>
      <t xml:space="preserve">     </t>
    </r>
    <r>
      <rPr>
        <b/>
        <sz val="12"/>
        <rFont val="宋体"/>
        <charset val="134"/>
      </rPr>
      <t>重要指标说明</t>
    </r>
  </si>
  <si>
    <r>
      <rPr>
        <sz val="12"/>
        <rFont val="宋体"/>
        <charset val="134"/>
      </rPr>
      <t>1.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财务净现值率=净现值/项目总投入现值*100%，净现值为建设期及生产期各年净现金流量现值合计值，总投入现值为建设及生产期内的建设投资及成本支出的累计现值。</t>
    </r>
  </si>
  <si>
    <t>2.静态投资回收期=不考虑时间价值，累计净现金流量开始出现正值的年份数-1+上一年累计净现金流量的绝对值/出现正值年份的净现金流量。</t>
  </si>
  <si>
    <r>
      <rPr>
        <sz val="12"/>
        <rFont val="Times New Roman"/>
        <family val="1"/>
      </rPr>
      <t>3</t>
    </r>
    <r>
      <rPr>
        <sz val="12"/>
        <rFont val="宋体"/>
        <charset val="134"/>
      </rPr>
      <t>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动态投资回收期=考虑时间价值，累计净现值开始出现正值的年份数-1+上一年累计净现值的绝对值/出现正值年份的净现值。</t>
    </r>
  </si>
  <si>
    <r>
      <rPr>
        <sz val="12"/>
        <rFont val="Times New Roman"/>
        <family val="1"/>
      </rPr>
      <t>4</t>
    </r>
    <r>
      <rPr>
        <sz val="12"/>
        <rFont val="宋体"/>
        <charset val="134"/>
      </rPr>
      <t>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折现率参考通信行业折现率，本表中取国资委给定的公司加权平均资本成本（目前为5.5%）。</t>
    </r>
  </si>
  <si>
    <r>
      <rPr>
        <sz val="12"/>
        <rFont val="Times New Roman"/>
        <family val="1"/>
      </rPr>
      <t>5</t>
    </r>
    <r>
      <rPr>
        <sz val="12"/>
        <rFont val="宋体"/>
        <charset val="134"/>
      </rPr>
      <t>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折旧及摊销费，根据各年项目投资计算各年的折旧费，采用平均年限法计算折旧，按照中国移动固定资产目录，光缆和管道按照10年、传输设备7年、服务器5年计算折旧。</t>
    </r>
  </si>
  <si>
    <r>
      <rPr>
        <sz val="12"/>
        <rFont val="宋体"/>
        <charset val="134"/>
      </rPr>
      <t>6.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所得税率按照国家要求25%。</t>
    </r>
  </si>
  <si>
    <r>
      <rPr>
        <sz val="12"/>
        <rFont val="Times New Roman"/>
        <family val="1"/>
      </rPr>
      <t>7</t>
    </r>
    <r>
      <rPr>
        <sz val="12"/>
        <rFont val="宋体"/>
        <charset val="134"/>
      </rPr>
      <t>.</t>
    </r>
    <r>
      <rPr>
        <sz val="7"/>
        <rFont val="Times New Roman"/>
        <family val="1"/>
      </rPr>
      <t xml:space="preserve"> </t>
    </r>
    <r>
      <rPr>
        <sz val="12"/>
        <rFont val="宋体"/>
        <charset val="134"/>
      </rPr>
      <t>在本表中仅考虑项目建设开展过程中的直接成本，因间接成本项较多，难以准确计算，且在计算效益时影响相对较小，故在本表中未纳入计算，但应对投资效益从严把控。</t>
    </r>
  </si>
  <si>
    <t>ICT类项目财务价值评估表</t>
  </si>
  <si>
    <t>本模板适用于合作模式、投资模式和其它模式投资部分，并适用于以上各模式混合的项目</t>
  </si>
  <si>
    <t>项目概况</t>
  </si>
  <si>
    <t>项目名称</t>
  </si>
  <si>
    <t>综合布线及无线网络建设项目</t>
  </si>
  <si>
    <t>业主单位</t>
  </si>
  <si>
    <t>有研亿金新材料（山东）有限公司</t>
  </si>
  <si>
    <t>项目年限</t>
  </si>
  <si>
    <t>预计投资金额</t>
  </si>
  <si>
    <t>预计收入金额</t>
  </si>
  <si>
    <t>预计成本金额</t>
  </si>
  <si>
    <t>基础数据</t>
  </si>
  <si>
    <t>明细项目（单位：万元）</t>
  </si>
  <si>
    <t>CT（含税）</t>
  </si>
  <si>
    <t>IT（含税）</t>
  </si>
  <si>
    <t>合同金额（含税）</t>
  </si>
  <si>
    <t>税率</t>
  </si>
  <si>
    <t>CT增值税</t>
  </si>
  <si>
    <t>IT增值税</t>
  </si>
  <si>
    <t>备注</t>
  </si>
  <si>
    <t>直接收入</t>
  </si>
  <si>
    <t>项目收入
（万元）</t>
  </si>
  <si>
    <t xml:space="preserve">  1）集成费</t>
  </si>
  <si>
    <t>根据客户的需求，将硬件、网络、数据库及相应的应用软件进行优化整合，提供全面系统解决方案而向客户收取的系统集成费，主要包括项目集成方案的咨询、设计、软硬件安装、通信工程服务、调测开通等项目实施服务费，为一次性费用。</t>
  </si>
  <si>
    <t xml:space="preserve">  2）维保费</t>
  </si>
  <si>
    <t>指公司在ICT项目建成后，因提供后续维护保障服务而向客户收取的维保费。</t>
  </si>
  <si>
    <t xml:space="preserve">  3）通信业务收入（基础电信服务）</t>
  </si>
  <si>
    <t>指ICT项目建成后客户使用ICT业务而产生的语音、短彩信、无线上网、专线、物联网等通信服务费。</t>
  </si>
  <si>
    <t xml:space="preserve">  4）通信业务收入（增值电信服务）</t>
  </si>
  <si>
    <t>指ICT项目建成后客户使用ICT业务而产生的互联网业务等通信服务费。</t>
  </si>
  <si>
    <t xml:space="preserve">  5）功能费收入</t>
  </si>
  <si>
    <t>指标准化集团信息化产品按月产生的功能费收入，如视频监控等。</t>
  </si>
  <si>
    <t xml:space="preserve">  6）设备租赁收入</t>
  </si>
  <si>
    <t>指ICT项目中出租设备产生的收入。</t>
  </si>
  <si>
    <t xml:space="preserve">  7）设备（含第三方软件）销售收入</t>
  </si>
  <si>
    <t>指ICT项目中销售设备及相关第三方软件产生的收入。</t>
  </si>
  <si>
    <t xml:space="preserve">  8）终端（含第三方软件）销售收入</t>
  </si>
  <si>
    <t>指ICT项目中销售终端及相关第三方软件产生的收入。</t>
  </si>
  <si>
    <t xml:space="preserve">  9）终端租赁收入</t>
  </si>
  <si>
    <t>指ICT项目中出租终端产生的收入。</t>
  </si>
  <si>
    <t>10）其他收入</t>
  </si>
  <si>
    <t>指项目带来的其他收入</t>
  </si>
  <si>
    <t>项目收入小计</t>
  </si>
  <si>
    <t>直接支出</t>
  </si>
  <si>
    <t>投资
（万元）</t>
  </si>
  <si>
    <t>其中：1、平台类投资</t>
  </si>
  <si>
    <t xml:space="preserve">  1）硬件设备类投资</t>
  </si>
  <si>
    <t>指项目建设完成后资产归属于我公司的平台设备采购投资。</t>
  </si>
  <si>
    <t xml:space="preserve">  2）定制软件类投资</t>
  </si>
  <si>
    <t>指项目建设完成后资产归属于我公司的平台定制软件采购投资。</t>
  </si>
  <si>
    <t xml:space="preserve">  3）集成服务费</t>
  </si>
  <si>
    <t>指资产归属于我公司的平台软硬件设备集成费用。</t>
  </si>
  <si>
    <t xml:space="preserve">  4）工程配套费</t>
  </si>
  <si>
    <t>指资产归属我公司的平台软硬件设备设所需的线缆、走线架等配套费用</t>
  </si>
  <si>
    <t xml:space="preserve">  5）建安费用</t>
  </si>
  <si>
    <t>指资产归属我公司的平台软硬件设备建设安装工程费。</t>
  </si>
  <si>
    <t xml:space="preserve">  6）设计监理费</t>
  </si>
  <si>
    <t>指项目建设完成后资产归属于我公司投资项目相关的设计、可研及监理费用。</t>
  </si>
  <si>
    <t xml:space="preserve">  2、传输网络配套投资</t>
  </si>
  <si>
    <t xml:space="preserve">  1）管道类投资</t>
  </si>
  <si>
    <t>指项目建设末端接入需要的管道、杆路等主材、配套和工程服务投资。</t>
  </si>
  <si>
    <t xml:space="preserve">  2）光缆类投资</t>
  </si>
  <si>
    <t>指项目建设末端接入需要的光缆等主材、配套和工程服务投资。</t>
  </si>
  <si>
    <t xml:space="preserve">  3）设备类投资</t>
  </si>
  <si>
    <t>指项目建设末端接入需要的SDH/PTN/OTN/GPON/微波以及MSAP，小型化PTN、光收发、协转、OLP、IMS接入设备等主设备、配套和工程服务投资。</t>
  </si>
  <si>
    <t xml:space="preserve">  3、其他网络配套投资</t>
  </si>
  <si>
    <t>项目建设中涉及的其他网络配套投资。</t>
  </si>
  <si>
    <t>其他建设费用（如有需按税率区分）</t>
  </si>
  <si>
    <t>投资小计</t>
  </si>
  <si>
    <t>成本
（万元）</t>
  </si>
  <si>
    <t>其中：1、建设费用</t>
  </si>
  <si>
    <t>维护/投入比</t>
  </si>
  <si>
    <t xml:space="preserve">  1）设备采购支出</t>
  </si>
  <si>
    <t>指项目建设完成后资产不归属于我公司的平台设备采购支出。</t>
  </si>
  <si>
    <t xml:space="preserve">  2）集成建设费用</t>
  </si>
  <si>
    <t>根据客户的需求，将硬件、网络、数据库及相应的应用软件进行优化整合，提供全面系统解决方案所需的项目集成建设费用。</t>
  </si>
  <si>
    <t xml:space="preserve">  3）中标服务费</t>
  </si>
  <si>
    <t>指招标代理机构接受委托，编制招标文件(包括编制资格预审文件和标底)，审查投标人资格，组织投标人查勘现场并答疑，组织开标、评标、定标,以及提供招标前期咨询、协调合同的签订等服务所收取的费用。</t>
  </si>
  <si>
    <t xml:space="preserve">  4）建安费用</t>
  </si>
  <si>
    <t>指建设安装工程费。</t>
  </si>
  <si>
    <t xml:space="preserve">  5）其他建设费用</t>
  </si>
  <si>
    <t>指项目建设过程中其他费用。</t>
  </si>
  <si>
    <t xml:space="preserve">  2、运行维护费用</t>
  </si>
  <si>
    <t xml:space="preserve">  1）维护费用</t>
  </si>
  <si>
    <t>指项目在运营维护过程中发生的设备维护支出及费用。</t>
  </si>
  <si>
    <t xml:space="preserve">  2）设备更新费用</t>
  </si>
  <si>
    <t>指项目在运行过程中设备更新发生的支出及费用。</t>
  </si>
  <si>
    <t xml:space="preserve">  3）其他运行费用（电费、耗材等）</t>
  </si>
  <si>
    <t>指项目在运行过程中发生的其他运行费用，如电费、耗材、场租、水费等。</t>
  </si>
  <si>
    <t xml:space="preserve">  3、其他直接支出</t>
  </si>
  <si>
    <t xml:space="preserve">  1）项目营销成本</t>
  </si>
  <si>
    <t>指项目营销相关费用。</t>
  </si>
  <si>
    <t xml:space="preserve">  2）代理渠道酬金支出</t>
  </si>
  <si>
    <t>指项目合作代理渠道的酬金支出。</t>
  </si>
  <si>
    <t xml:space="preserve">  3）通信业务结算支出</t>
  </si>
  <si>
    <t>指项目运行过程中专线、语音、短彩信、物联网、互联网等通信业务的结算成本。</t>
  </si>
  <si>
    <t xml:space="preserve">  4）其他直接支出</t>
  </si>
  <si>
    <t>指其他项目建设、运行和维护过程中的成本。</t>
  </si>
  <si>
    <t xml:space="preserve">  4、专线类项目对大网资源的分摊成本</t>
  </si>
  <si>
    <t>ICT项目占用一定的传输资源，应考虑对上层网络资源分摊成本，分摊标准参考业务管理办法</t>
  </si>
  <si>
    <t xml:space="preserve">  5、集团信息化产品成本</t>
  </si>
  <si>
    <t>计算标准参考业务管理办法。</t>
  </si>
  <si>
    <t>成本小计</t>
  </si>
  <si>
    <t xml:space="preserve"> </t>
  </si>
  <si>
    <t>经济效益评估</t>
  </si>
  <si>
    <t>项目        年限</t>
  </si>
  <si>
    <t>合计</t>
  </si>
  <si>
    <t>验证</t>
  </si>
  <si>
    <t>初始项目投资</t>
  </si>
  <si>
    <t>分类</t>
  </si>
  <si>
    <t>指标</t>
  </si>
  <si>
    <t>评估结果</t>
  </si>
  <si>
    <t>管控要求</t>
  </si>
  <si>
    <t>收入</t>
  </si>
  <si>
    <t>效益管控</t>
  </si>
  <si>
    <t>内部收益率（IRR）</t>
  </si>
  <si>
    <t>13%及以上</t>
  </si>
  <si>
    <t>支出</t>
  </si>
  <si>
    <t>净利润率</t>
  </si>
  <si>
    <t>8%及以上</t>
  </si>
  <si>
    <t>终端及其他营销资源投入</t>
  </si>
  <si>
    <t>底线管控</t>
  </si>
  <si>
    <t>净现值率</t>
  </si>
  <si>
    <t>大于0</t>
  </si>
  <si>
    <t>折旧与摊销</t>
  </si>
  <si>
    <t xml:space="preserve">动态回收期 </t>
  </si>
  <si>
    <t>小于合同期，原则上不超过5年</t>
  </si>
  <si>
    <t>利润总额</t>
  </si>
  <si>
    <t>净利润（所得税率25%）</t>
  </si>
  <si>
    <t>折旧与摊销（加回）</t>
  </si>
  <si>
    <r>
      <rPr>
        <sz val="10"/>
        <rFont val="微软雅黑"/>
        <charset val="134"/>
      </rPr>
      <t>净现金流入</t>
    </r>
    <r>
      <rPr>
        <b/>
        <sz val="10"/>
        <color rgb="FFFF0000"/>
        <rFont val="微软雅黑"/>
        <charset val="134"/>
      </rPr>
      <t>（内部收益率IRR)</t>
    </r>
  </si>
  <si>
    <t>累计净流入</t>
  </si>
  <si>
    <t>折现率（4%）</t>
  </si>
  <si>
    <t>折现后现金流入</t>
  </si>
  <si>
    <t>折现后现金流出</t>
  </si>
  <si>
    <t>折现后净流入</t>
  </si>
  <si>
    <r>
      <rPr>
        <sz val="10"/>
        <color indexed="8"/>
        <rFont val="微软雅黑"/>
        <charset val="134"/>
      </rPr>
      <t>折现后累计净流入</t>
    </r>
    <r>
      <rPr>
        <b/>
        <sz val="10"/>
        <color rgb="FFFF0000"/>
        <rFont val="微软雅黑"/>
        <charset val="134"/>
      </rPr>
      <t>（净现值率）</t>
    </r>
  </si>
  <si>
    <t>静态回收期</t>
  </si>
  <si>
    <t>动态回收期</t>
  </si>
  <si>
    <t>说明</t>
  </si>
  <si>
    <r>
      <rPr>
        <sz val="12"/>
        <rFont val="微软雅黑"/>
        <charset val="134"/>
      </rPr>
      <t>1、在支出方面，原则上要填写</t>
    </r>
    <r>
      <rPr>
        <b/>
        <sz val="12"/>
        <rFont val="微软雅黑"/>
        <charset val="134"/>
      </rPr>
      <t>中标服务费、网络维护费用</t>
    </r>
    <r>
      <rPr>
        <sz val="12"/>
        <rFont val="微软雅黑"/>
        <charset val="134"/>
      </rPr>
      <t>，如果没有发生此两项费用，需说明原因。
2、若项目协议期为1年且动态回收期小于1年，默认满足内部收益率管控要求，在DICT项目管理平台中按照“99”录入。
3、若出现小规模纳税人税率无法套入模板的情况，需自行在对应科目修改税率，其余情况不允许修改。</t>
    </r>
  </si>
  <si>
    <t>参考中国移动固定资产目录，平台类设备折旧年限为5年，传输网设备7年，光缆管道10年，软件类5年</t>
  </si>
  <si>
    <t>第一年</t>
  </si>
  <si>
    <t>第二年</t>
  </si>
  <si>
    <t>第三年</t>
  </si>
  <si>
    <t>第四年</t>
  </si>
  <si>
    <t>第五年</t>
  </si>
  <si>
    <t>第六年</t>
  </si>
  <si>
    <t>第七年</t>
  </si>
  <si>
    <t>第八年</t>
  </si>
  <si>
    <t>第九年</t>
  </si>
  <si>
    <t>第十年</t>
  </si>
  <si>
    <t>第十一年</t>
  </si>
  <si>
    <t>第十二年</t>
  </si>
  <si>
    <t>第十三年</t>
  </si>
  <si>
    <t>第十四年</t>
  </si>
  <si>
    <t>第十五年</t>
  </si>
  <si>
    <t>第十六年</t>
  </si>
  <si>
    <t>第十七年</t>
  </si>
  <si>
    <t>第十八年</t>
  </si>
  <si>
    <t>第十九年</t>
  </si>
  <si>
    <t>第二十年</t>
  </si>
  <si>
    <t>折旧及摊销</t>
  </si>
  <si>
    <t>总投资各年折旧及摊销</t>
  </si>
  <si>
    <t>平台类设备投资累计折旧</t>
  </si>
  <si>
    <t>折旧年限</t>
  </si>
  <si>
    <t>当年投产月份</t>
  </si>
  <si>
    <t>各年平台类设备投资规模</t>
  </si>
  <si>
    <t>第一年投资在各年的折旧</t>
  </si>
  <si>
    <t>第二年投资在各年的折旧</t>
  </si>
  <si>
    <t>第三年投资在各年的折旧</t>
  </si>
  <si>
    <t>第四年投资在各年的折旧</t>
  </si>
  <si>
    <t>第五年投资在各年的折旧</t>
  </si>
  <si>
    <t>第六年投资在各年的折旧</t>
  </si>
  <si>
    <t>第七年投资在各年的折旧</t>
  </si>
  <si>
    <t>第八年投资在各年的折旧</t>
  </si>
  <si>
    <t>第九年投资在各年的折旧</t>
  </si>
  <si>
    <t>第十年投资在各年的折旧</t>
  </si>
  <si>
    <t>第十一年投资在各年的折旧</t>
  </si>
  <si>
    <t>传输网设备类投资累计折旧</t>
  </si>
  <si>
    <t>各年传输网设备类投资规模</t>
  </si>
  <si>
    <t>光缆及管道类投资累计折旧</t>
  </si>
  <si>
    <t>各年光缆及管道类投资规模</t>
  </si>
  <si>
    <t>软件类投资累计摊销</t>
  </si>
  <si>
    <t>摊销年限</t>
  </si>
  <si>
    <t>各年软件类投资规模</t>
  </si>
  <si>
    <t>其他类投资累计折旧</t>
  </si>
  <si>
    <t>其他类投资规模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</si>
</sst>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76" formatCode="_-* #,##0_-;\-* #,##0_-;_-* &quot;-&quot;_-;_-@_-"/>
    <numFmt numFmtId="177" formatCode="0_);[Red]\(0\)"/>
    <numFmt numFmtId="178" formatCode="0.0_ "/>
    <numFmt numFmtId="179" formatCode="0_ "/>
    <numFmt numFmtId="180" formatCode="0.00_ "/>
    <numFmt numFmtId="181" formatCode="0.00_);[Red]\(0.00\)"/>
    <numFmt numFmtId="182" formatCode="#,##0.00_ "/>
    <numFmt numFmtId="183" formatCode="#,##0.0;[Red]\-#,##0.0"/>
    <numFmt numFmtId="184" formatCode="0.0%"/>
    <numFmt numFmtId="185" formatCode="0.000_ "/>
  </numFmts>
  <fonts count="3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b/>
      <sz val="9"/>
      <color theme="0"/>
      <name val="宋体"/>
      <charset val="134"/>
      <scheme val="minor"/>
    </font>
    <font>
      <b/>
      <sz val="12"/>
      <name val="宋体"/>
      <charset val="134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微软雅黑"/>
      <charset val="134"/>
    </font>
    <font>
      <sz val="10"/>
      <name val="宋体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u/>
      <sz val="10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23"/>
      <name val="Arial"/>
      <family val="2"/>
    </font>
    <font>
      <sz val="11"/>
      <color indexed="8"/>
      <name val="宋体"/>
      <charset val="134"/>
    </font>
    <font>
      <b/>
      <sz val="7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3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4" fillId="0" borderId="0">
      <alignment vertical="center"/>
    </xf>
    <xf numFmtId="0" fontId="25" fillId="0" borderId="0">
      <alignment horizontal="center" vertical="center"/>
      <protection locked="0"/>
    </xf>
    <xf numFmtId="9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0" fontId="26" fillId="0" borderId="0"/>
    <xf numFmtId="0" fontId="27" fillId="0" borderId="0">
      <alignment horizontal="center" vertical="center"/>
      <protection locked="0"/>
    </xf>
    <xf numFmtId="9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/>
    <xf numFmtId="43" fontId="2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" fillId="0" borderId="0" xfId="0" applyFont="1">
      <alignment vertical="center"/>
    </xf>
    <xf numFmtId="43" fontId="3" fillId="2" borderId="4" xfId="21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5" fillId="4" borderId="6" xfId="13" applyFont="1" applyFill="1" applyBorder="1" applyAlignment="1">
      <alignment horizontal="left" vertical="center" wrapText="1"/>
    </xf>
    <xf numFmtId="177" fontId="6" fillId="4" borderId="7" xfId="12" applyNumberFormat="1" applyFont="1" applyFill="1" applyBorder="1" applyAlignment="1">
      <alignment horizontal="center" vertical="center" wrapText="1"/>
    </xf>
    <xf numFmtId="43" fontId="7" fillId="5" borderId="7" xfId="21" applyFont="1" applyFill="1" applyBorder="1" applyAlignment="1" applyProtection="1">
      <alignment horizontal="right" vertical="center" wrapText="1"/>
      <protection locked="0"/>
    </xf>
    <xf numFmtId="178" fontId="7" fillId="4" borderId="7" xfId="0" applyNumberFormat="1" applyFont="1" applyFill="1" applyBorder="1" applyAlignment="1" applyProtection="1">
      <alignment horizontal="right" vertical="center" wrapText="1"/>
      <protection locked="0"/>
    </xf>
    <xf numFmtId="43" fontId="0" fillId="0" borderId="0" xfId="21" applyFont="1" applyBorder="1" applyAlignment="1">
      <alignment vertical="center"/>
    </xf>
    <xf numFmtId="0" fontId="5" fillId="6" borderId="2" xfId="13" applyFont="1" applyFill="1" applyBorder="1" applyAlignment="1">
      <alignment horizontal="left" vertical="center" wrapText="1"/>
    </xf>
    <xf numFmtId="177" fontId="6" fillId="5" borderId="9" xfId="12" applyNumberFormat="1" applyFont="1" applyFill="1" applyBorder="1" applyAlignment="1">
      <alignment horizontal="center" vertical="center" wrapText="1"/>
    </xf>
    <xf numFmtId="43" fontId="7" fillId="5" borderId="10" xfId="21" applyFont="1" applyFill="1" applyBorder="1" applyAlignment="1" applyProtection="1">
      <alignment horizontal="right" vertical="center" wrapText="1"/>
      <protection locked="0"/>
    </xf>
    <xf numFmtId="178" fontId="7" fillId="5" borderId="4" xfId="0" applyNumberFormat="1" applyFont="1" applyFill="1" applyBorder="1" applyAlignment="1" applyProtection="1">
      <alignment horizontal="right" vertical="center" wrapText="1"/>
      <protection locked="0"/>
    </xf>
    <xf numFmtId="0" fontId="5" fillId="6" borderId="11" xfId="13" applyFont="1" applyFill="1" applyBorder="1" applyAlignment="1">
      <alignment horizontal="right" vertical="center" wrapText="1"/>
    </xf>
    <xf numFmtId="177" fontId="8" fillId="7" borderId="12" xfId="12" applyNumberFormat="1" applyFont="1" applyFill="1" applyBorder="1" applyAlignment="1">
      <alignment horizontal="center" vertical="center" wrapText="1"/>
    </xf>
    <xf numFmtId="178" fontId="9" fillId="5" borderId="15" xfId="0" applyNumberFormat="1" applyFont="1" applyFill="1" applyBorder="1" applyAlignment="1" applyProtection="1">
      <alignment horizontal="right" vertical="center" wrapText="1"/>
      <protection locked="0"/>
    </xf>
    <xf numFmtId="43" fontId="9" fillId="5" borderId="15" xfId="21" applyFont="1" applyFill="1" applyBorder="1" applyAlignment="1" applyProtection="1">
      <alignment horizontal="right" vertical="center" wrapText="1"/>
      <protection locked="0"/>
    </xf>
    <xf numFmtId="179" fontId="9" fillId="8" borderId="7" xfId="0" applyNumberFormat="1" applyFont="1" applyFill="1" applyBorder="1" applyAlignment="1" applyProtection="1">
      <alignment horizontal="right" vertical="center" wrapText="1"/>
      <protection locked="0"/>
    </xf>
    <xf numFmtId="0" fontId="5" fillId="6" borderId="11" xfId="13" applyFont="1" applyFill="1" applyBorder="1" applyAlignment="1">
      <alignment horizontal="center" vertical="center" wrapText="1"/>
    </xf>
    <xf numFmtId="9" fontId="8" fillId="5" borderId="13" xfId="12" applyFont="1" applyFill="1" applyBorder="1" applyAlignment="1">
      <alignment horizontal="center" vertical="center" wrapText="1"/>
    </xf>
    <xf numFmtId="43" fontId="9" fillId="5" borderId="7" xfId="21" applyFont="1" applyFill="1" applyBorder="1" applyAlignment="1" applyProtection="1">
      <alignment horizontal="right" vertical="center" wrapText="1"/>
      <protection locked="0"/>
    </xf>
    <xf numFmtId="178" fontId="9" fillId="8" borderId="7" xfId="0" applyNumberFormat="1" applyFont="1" applyFill="1" applyBorder="1" applyAlignment="1" applyProtection="1">
      <alignment horizontal="right" vertical="center" wrapText="1"/>
      <protection locked="0"/>
    </xf>
    <xf numFmtId="0" fontId="8" fillId="9" borderId="14" xfId="13" applyFont="1" applyFill="1" applyBorder="1" applyAlignment="1">
      <alignment horizontal="center" vertical="center" wrapText="1"/>
    </xf>
    <xf numFmtId="178" fontId="9" fillId="6" borderId="7" xfId="0" applyNumberFormat="1" applyFont="1" applyFill="1" applyBorder="1" applyAlignment="1" applyProtection="1">
      <alignment horizontal="right" vertical="center" wrapText="1"/>
      <protection locked="0"/>
    </xf>
    <xf numFmtId="177" fontId="8" fillId="5" borderId="9" xfId="12" applyNumberFormat="1" applyFont="1" applyFill="1" applyBorder="1" applyAlignment="1">
      <alignment horizontal="center" vertical="center" wrapText="1"/>
    </xf>
    <xf numFmtId="0" fontId="8" fillId="9" borderId="17" xfId="13" applyFont="1" applyFill="1" applyBorder="1" applyAlignment="1">
      <alignment horizontal="center" vertical="center" wrapText="1"/>
    </xf>
    <xf numFmtId="179" fontId="9" fillId="5" borderId="7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18" xfId="0" applyFont="1" applyFill="1" applyBorder="1" applyAlignment="1" applyProtection="1">
      <alignment horizontal="center" vertical="center" wrapText="1"/>
      <protection locked="0"/>
    </xf>
    <xf numFmtId="178" fontId="7" fillId="4" borderId="19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20" xfId="0" applyBorder="1">
      <alignment vertical="center"/>
    </xf>
    <xf numFmtId="178" fontId="7" fillId="5" borderId="18" xfId="0" applyNumberFormat="1" applyFont="1" applyFill="1" applyBorder="1" applyAlignment="1" applyProtection="1">
      <alignment horizontal="right" vertical="center" wrapText="1"/>
      <protection locked="0"/>
    </xf>
    <xf numFmtId="179" fontId="9" fillId="5" borderId="19" xfId="0" applyNumberFormat="1" applyFont="1" applyFill="1" applyBorder="1" applyAlignment="1" applyProtection="1">
      <alignment horizontal="right" vertical="center" wrapText="1"/>
      <protection locked="0"/>
    </xf>
    <xf numFmtId="178" fontId="9" fillId="6" borderId="19" xfId="0" applyNumberFormat="1" applyFont="1" applyFill="1" applyBorder="1" applyAlignment="1" applyProtection="1">
      <alignment horizontal="right" vertical="center" wrapText="1"/>
      <protection locked="0"/>
    </xf>
    <xf numFmtId="178" fontId="0" fillId="0" borderId="0" xfId="0" applyNumberFormat="1">
      <alignment vertical="center"/>
    </xf>
    <xf numFmtId="9" fontId="8" fillId="5" borderId="16" xfId="12" applyFont="1" applyFill="1" applyBorder="1" applyAlignment="1">
      <alignment horizontal="center" vertical="center" wrapText="1"/>
    </xf>
    <xf numFmtId="43" fontId="9" fillId="5" borderId="24" xfId="21" applyFont="1" applyFill="1" applyBorder="1" applyAlignment="1" applyProtection="1">
      <alignment horizontal="right" vertical="center" wrapText="1"/>
      <protection locked="0"/>
    </xf>
    <xf numFmtId="178" fontId="9" fillId="6" borderId="24" xfId="0" applyNumberFormat="1" applyFont="1" applyFill="1" applyBorder="1" applyAlignment="1" applyProtection="1">
      <alignment horizontal="right" vertical="center" wrapText="1"/>
      <protection locked="0"/>
    </xf>
    <xf numFmtId="178" fontId="9" fillId="6" borderId="25" xfId="0" applyNumberFormat="1" applyFont="1" applyFill="1" applyBorder="1" applyAlignment="1" applyProtection="1">
      <alignment horizontal="right" vertical="center" wrapText="1"/>
      <protection locked="0"/>
    </xf>
    <xf numFmtId="0" fontId="10" fillId="0" borderId="0" xfId="0" applyFont="1" applyAlignment="1">
      <alignment horizontal="center" vertical="center" wrapText="1"/>
    </xf>
    <xf numFmtId="0" fontId="11" fillId="0" borderId="0" xfId="13" applyFont="1">
      <alignment vertical="center"/>
    </xf>
    <xf numFmtId="0" fontId="12" fillId="6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180" fontId="15" fillId="7" borderId="7" xfId="16" applyNumberFormat="1" applyFont="1" applyFill="1" applyBorder="1" applyAlignment="1">
      <alignment horizontal="center" vertical="center"/>
    </xf>
    <xf numFmtId="181" fontId="14" fillId="8" borderId="7" xfId="1" applyNumberFormat="1" applyFont="1" applyFill="1" applyBorder="1" applyAlignment="1" applyProtection="1">
      <alignment horizontal="center" vertical="center" wrapText="1"/>
      <protection locked="0"/>
    </xf>
    <xf numFmtId="38" fontId="14" fillId="6" borderId="7" xfId="0" applyNumberFormat="1" applyFont="1" applyFill="1" applyBorder="1" applyAlignment="1">
      <alignment horizontal="center" vertical="center" wrapText="1"/>
    </xf>
    <xf numFmtId="181" fontId="17" fillId="8" borderId="7" xfId="1" applyNumberFormat="1" applyFont="1" applyFill="1" applyBorder="1" applyAlignment="1" applyProtection="1">
      <alignment horizontal="center" vertical="center" wrapText="1"/>
      <protection locked="0"/>
    </xf>
    <xf numFmtId="43" fontId="14" fillId="8" borderId="7" xfId="1" applyFont="1" applyFill="1" applyBorder="1" applyAlignment="1" applyProtection="1">
      <alignment horizontal="center" vertical="center" wrapText="1"/>
      <protection locked="0"/>
    </xf>
    <xf numFmtId="43" fontId="14" fillId="8" borderId="7" xfId="1" applyFont="1" applyFill="1" applyBorder="1" applyAlignment="1" applyProtection="1">
      <alignment horizontal="left" vertical="center" wrapText="1"/>
      <protection locked="0"/>
    </xf>
    <xf numFmtId="43" fontId="14" fillId="8" borderId="7" xfId="1" applyFont="1" applyFill="1" applyBorder="1" applyAlignment="1" applyProtection="1">
      <alignment vertical="center" wrapText="1"/>
      <protection locked="0"/>
    </xf>
    <xf numFmtId="0" fontId="16" fillId="0" borderId="0" xfId="13" applyFont="1">
      <alignment vertical="center"/>
    </xf>
    <xf numFmtId="0" fontId="15" fillId="6" borderId="7" xfId="16" applyFont="1" applyFill="1" applyBorder="1">
      <alignment vertical="center"/>
    </xf>
    <xf numFmtId="0" fontId="15" fillId="0" borderId="7" xfId="16" applyFont="1" applyBorder="1" applyAlignment="1">
      <alignment horizontal="center" vertical="center"/>
    </xf>
    <xf numFmtId="180" fontId="15" fillId="6" borderId="7" xfId="16" applyNumberFormat="1" applyFont="1" applyFill="1" applyBorder="1">
      <alignment vertical="center"/>
    </xf>
    <xf numFmtId="178" fontId="15" fillId="8" borderId="7" xfId="16" applyNumberFormat="1" applyFont="1" applyFill="1" applyBorder="1" applyAlignment="1">
      <alignment horizontal="center" vertical="center"/>
    </xf>
    <xf numFmtId="180" fontId="15" fillId="8" borderId="7" xfId="16" applyNumberFormat="1" applyFont="1" applyFill="1" applyBorder="1" applyAlignment="1">
      <alignment horizontal="center" vertical="center"/>
    </xf>
    <xf numFmtId="182" fontId="15" fillId="8" borderId="7" xfId="1" applyNumberFormat="1" applyFont="1" applyFill="1" applyBorder="1" applyAlignment="1">
      <alignment horizontal="center" vertical="center"/>
    </xf>
    <xf numFmtId="0" fontId="16" fillId="6" borderId="7" xfId="13" applyFont="1" applyFill="1" applyBorder="1">
      <alignment vertical="center"/>
    </xf>
    <xf numFmtId="180" fontId="13" fillId="6" borderId="7" xfId="16" applyNumberFormat="1" applyFont="1" applyFill="1" applyBorder="1">
      <alignment vertical="center"/>
    </xf>
    <xf numFmtId="9" fontId="15" fillId="7" borderId="7" xfId="2" applyFont="1" applyFill="1" applyBorder="1" applyAlignment="1">
      <alignment horizontal="center" vertical="center"/>
    </xf>
    <xf numFmtId="180" fontId="15" fillId="6" borderId="7" xfId="16" applyNumberFormat="1" applyFont="1" applyFill="1" applyBorder="1" applyAlignment="1">
      <alignment horizontal="left" vertical="center" wrapText="1"/>
    </xf>
    <xf numFmtId="180" fontId="13" fillId="6" borderId="7" xfId="16" applyNumberFormat="1" applyFont="1" applyFill="1" applyBorder="1" applyAlignment="1">
      <alignment horizontal="left" vertical="center" wrapText="1"/>
    </xf>
    <xf numFmtId="38" fontId="10" fillId="0" borderId="0" xfId="0" applyNumberFormat="1" applyFont="1" applyAlignment="1">
      <alignment horizontal="center" vertical="center" wrapText="1"/>
    </xf>
    <xf numFmtId="0" fontId="10" fillId="0" borderId="0" xfId="0" applyFont="1">
      <alignment vertical="center"/>
    </xf>
    <xf numFmtId="9" fontId="15" fillId="8" borderId="7" xfId="2" applyFont="1" applyFill="1" applyBorder="1" applyAlignment="1">
      <alignment horizontal="center" vertical="center"/>
    </xf>
    <xf numFmtId="9" fontId="14" fillId="6" borderId="7" xfId="2" applyFont="1" applyFill="1" applyBorder="1" applyAlignment="1">
      <alignment horizontal="center" vertical="center" wrapText="1"/>
    </xf>
    <xf numFmtId="183" fontId="14" fillId="6" borderId="7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0" fontId="10" fillId="0" borderId="0" xfId="0" applyNumberFormat="1" applyFont="1" applyAlignment="1">
      <alignment horizontal="center" vertical="center" wrapText="1"/>
    </xf>
    <xf numFmtId="38" fontId="14" fillId="0" borderId="13" xfId="0" applyNumberFormat="1" applyFont="1" applyBorder="1" applyAlignment="1">
      <alignment vertical="center" wrapText="1"/>
    </xf>
    <xf numFmtId="38" fontId="14" fillId="0" borderId="6" xfId="0" applyNumberFormat="1" applyFont="1" applyBorder="1" applyAlignment="1">
      <alignment vertical="center" wrapText="1"/>
    </xf>
    <xf numFmtId="180" fontId="15" fillId="11" borderId="7" xfId="16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 readingOrder="1"/>
    </xf>
    <xf numFmtId="0" fontId="16" fillId="0" borderId="7" xfId="13" applyFont="1" applyBorder="1" applyAlignment="1">
      <alignment horizontal="center" vertical="center"/>
    </xf>
    <xf numFmtId="10" fontId="13" fillId="11" borderId="7" xfId="2" applyNumberFormat="1" applyFont="1" applyFill="1" applyBorder="1" applyAlignment="1">
      <alignment horizontal="center" vertical="center"/>
    </xf>
    <xf numFmtId="184" fontId="13" fillId="7" borderId="7" xfId="2" applyNumberFormat="1" applyFont="1" applyFill="1" applyBorder="1" applyAlignment="1">
      <alignment horizontal="center" vertical="center"/>
    </xf>
    <xf numFmtId="10" fontId="15" fillId="11" borderId="7" xfId="3" applyNumberFormat="1" applyFont="1" applyFill="1" applyBorder="1" applyAlignment="1">
      <alignment horizontal="center" vertical="center"/>
    </xf>
    <xf numFmtId="184" fontId="15" fillId="7" borderId="7" xfId="3" applyNumberFormat="1" applyFont="1" applyFill="1" applyBorder="1" applyAlignment="1">
      <alignment horizontal="center" vertical="center"/>
    </xf>
    <xf numFmtId="9" fontId="11" fillId="0" borderId="0" xfId="13" applyNumberFormat="1" applyFont="1">
      <alignment vertical="center"/>
    </xf>
    <xf numFmtId="0" fontId="19" fillId="0" borderId="7" xfId="0" applyFont="1" applyBorder="1" applyAlignment="1">
      <alignment horizontal="center" vertical="center" wrapText="1" readingOrder="1"/>
    </xf>
    <xf numFmtId="10" fontId="19" fillId="0" borderId="7" xfId="0" applyNumberFormat="1" applyFont="1" applyBorder="1" applyAlignment="1">
      <alignment horizontal="center" vertical="center" wrapText="1" readingOrder="1"/>
    </xf>
    <xf numFmtId="184" fontId="20" fillId="0" borderId="7" xfId="13" applyNumberFormat="1" applyFont="1" applyBorder="1" applyAlignment="1">
      <alignment horizontal="center" vertical="center"/>
    </xf>
    <xf numFmtId="180" fontId="19" fillId="0" borderId="7" xfId="0" applyNumberFormat="1" applyFont="1" applyBorder="1" applyAlignment="1">
      <alignment horizontal="center" vertical="center" wrapText="1" readingOrder="1"/>
    </xf>
    <xf numFmtId="185" fontId="15" fillId="7" borderId="7" xfId="16" applyNumberFormat="1" applyFont="1" applyFill="1" applyBorder="1" applyAlignment="1">
      <alignment horizontal="center" vertical="center"/>
    </xf>
    <xf numFmtId="184" fontId="14" fillId="7" borderId="7" xfId="13" applyNumberFormat="1" applyFont="1" applyFill="1" applyBorder="1" applyAlignment="1">
      <alignment horizontal="center" vertical="center"/>
    </xf>
    <xf numFmtId="180" fontId="11" fillId="0" borderId="0" xfId="13" applyNumberFormat="1" applyFont="1">
      <alignment vertical="center"/>
    </xf>
    <xf numFmtId="0" fontId="22" fillId="7" borderId="33" xfId="13" applyFont="1" applyFill="1" applyBorder="1" applyAlignment="1">
      <alignment horizontal="center" vertical="center"/>
    </xf>
    <xf numFmtId="180" fontId="16" fillId="11" borderId="7" xfId="16" applyNumberFormat="1" applyFont="1" applyFill="1" applyBorder="1" applyAlignment="1">
      <alignment horizontal="center" vertical="center"/>
    </xf>
    <xf numFmtId="180" fontId="16" fillId="7" borderId="7" xfId="16" applyNumberFormat="1" applyFont="1" applyFill="1" applyBorder="1" applyAlignment="1">
      <alignment horizontal="center" vertical="center"/>
    </xf>
    <xf numFmtId="180" fontId="13" fillId="11" borderId="7" xfId="16" applyNumberFormat="1" applyFont="1" applyFill="1" applyBorder="1" applyAlignment="1">
      <alignment horizontal="center" vertical="center"/>
    </xf>
    <xf numFmtId="0" fontId="16" fillId="0" borderId="7" xfId="13" applyFont="1" applyBorder="1">
      <alignment vertical="center"/>
    </xf>
    <xf numFmtId="0" fontId="4" fillId="0" borderId="0" xfId="4" applyFont="1" applyAlignment="1">
      <alignment vertical="center"/>
    </xf>
    <xf numFmtId="0" fontId="2" fillId="0" borderId="0" xfId="4" applyAlignment="1">
      <alignment vertical="center"/>
    </xf>
    <xf numFmtId="0" fontId="4" fillId="0" borderId="0" xfId="4" applyFont="1" applyAlignment="1">
      <alignment horizontal="justify" vertical="center"/>
    </xf>
    <xf numFmtId="0" fontId="2" fillId="0" borderId="0" xfId="4" applyAlignment="1">
      <alignment horizontal="justify" vertical="center"/>
    </xf>
    <xf numFmtId="0" fontId="2" fillId="0" borderId="0" xfId="4" applyAlignment="1">
      <alignment horizontal="justify" vertical="center" wrapText="1"/>
    </xf>
    <xf numFmtId="0" fontId="23" fillId="7" borderId="34" xfId="13" applyFont="1" applyFill="1" applyBorder="1" applyAlignment="1">
      <alignment horizontal="left" vertical="center" wrapText="1"/>
    </xf>
    <xf numFmtId="0" fontId="23" fillId="7" borderId="35" xfId="13" applyFont="1" applyFill="1" applyBorder="1" applyAlignment="1">
      <alignment horizontal="left" vertical="center" wrapText="1"/>
    </xf>
    <xf numFmtId="0" fontId="23" fillId="7" borderId="36" xfId="13" applyFont="1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4" fillId="6" borderId="30" xfId="0" applyFont="1" applyFill="1" applyBorder="1" applyAlignment="1">
      <alignment horizontal="center" vertical="center" wrapText="1"/>
    </xf>
    <xf numFmtId="0" fontId="14" fillId="6" borderId="31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6" borderId="32" xfId="0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 vertical="center" wrapText="1"/>
    </xf>
    <xf numFmtId="180" fontId="15" fillId="7" borderId="7" xfId="16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 readingOrder="1"/>
    </xf>
    <xf numFmtId="0" fontId="14" fillId="10" borderId="13" xfId="13" applyFont="1" applyFill="1" applyBorder="1" applyAlignment="1">
      <alignment horizontal="left" vertical="center" wrapText="1"/>
    </xf>
    <xf numFmtId="0" fontId="14" fillId="10" borderId="14" xfId="13" applyFont="1" applyFill="1" applyBorder="1" applyAlignment="1">
      <alignment horizontal="left" vertical="center" wrapText="1"/>
    </xf>
    <xf numFmtId="0" fontId="14" fillId="10" borderId="6" xfId="13" applyFont="1" applyFill="1" applyBorder="1" applyAlignment="1">
      <alignment horizontal="left" vertical="center" wrapText="1"/>
    </xf>
    <xf numFmtId="38" fontId="14" fillId="0" borderId="7" xfId="0" applyNumberFormat="1" applyFont="1" applyBorder="1" applyAlignment="1">
      <alignment horizontal="left" vertical="center" wrapText="1"/>
    </xf>
    <xf numFmtId="0" fontId="16" fillId="6" borderId="13" xfId="13" applyFont="1" applyFill="1" applyBorder="1" applyAlignment="1">
      <alignment horizontal="left" vertical="center" wrapText="1"/>
    </xf>
    <xf numFmtId="0" fontId="16" fillId="6" borderId="14" xfId="13" applyFont="1" applyFill="1" applyBorder="1" applyAlignment="1">
      <alignment horizontal="left" vertical="center" wrapText="1"/>
    </xf>
    <xf numFmtId="0" fontId="16" fillId="6" borderId="6" xfId="13" applyFont="1" applyFill="1" applyBorder="1" applyAlignment="1">
      <alignment horizontal="left" vertical="center" wrapText="1"/>
    </xf>
    <xf numFmtId="38" fontId="14" fillId="0" borderId="26" xfId="0" applyNumberFormat="1" applyFont="1" applyBorder="1" applyAlignment="1">
      <alignment horizontal="center" vertical="center" wrapText="1"/>
    </xf>
    <xf numFmtId="38" fontId="14" fillId="0" borderId="0" xfId="0" applyNumberFormat="1" applyFont="1" applyAlignment="1">
      <alignment horizontal="center" vertical="center" wrapText="1"/>
    </xf>
    <xf numFmtId="0" fontId="12" fillId="6" borderId="30" xfId="0" applyFont="1" applyFill="1" applyBorder="1" applyAlignment="1">
      <alignment horizontal="left" vertical="center" wrapText="1"/>
    </xf>
    <xf numFmtId="0" fontId="16" fillId="0" borderId="7" xfId="13" applyFont="1" applyBorder="1" applyAlignment="1">
      <alignment horizontal="left" vertical="center"/>
    </xf>
    <xf numFmtId="0" fontId="21" fillId="0" borderId="7" xfId="13" applyFont="1" applyBorder="1" applyAlignment="1">
      <alignment horizontal="center" vertical="center"/>
    </xf>
    <xf numFmtId="0" fontId="13" fillId="10" borderId="13" xfId="13" applyFont="1" applyFill="1" applyBorder="1" applyAlignment="1">
      <alignment horizontal="left" vertical="center" wrapText="1"/>
    </xf>
    <xf numFmtId="0" fontId="13" fillId="10" borderId="14" xfId="13" applyFont="1" applyFill="1" applyBorder="1" applyAlignment="1">
      <alignment horizontal="left" vertical="center" wrapText="1"/>
    </xf>
    <xf numFmtId="0" fontId="13" fillId="10" borderId="6" xfId="13" applyFont="1" applyFill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2" fillId="0" borderId="26" xfId="13" applyFont="1" applyBorder="1" applyAlignment="1">
      <alignment horizontal="center" vertical="center"/>
    </xf>
    <xf numFmtId="0" fontId="12" fillId="0" borderId="0" xfId="13" applyFont="1" applyAlignment="1">
      <alignment horizontal="center" vertical="center"/>
    </xf>
    <xf numFmtId="0" fontId="13" fillId="0" borderId="12" xfId="13" applyFont="1" applyBorder="1" applyAlignment="1">
      <alignment horizontal="left" vertical="center"/>
    </xf>
    <xf numFmtId="0" fontId="13" fillId="0" borderId="11" xfId="13" applyFont="1" applyBorder="1" applyAlignment="1">
      <alignment horizontal="left" vertical="center"/>
    </xf>
    <xf numFmtId="0" fontId="14" fillId="6" borderId="27" xfId="0" applyFont="1" applyFill="1" applyBorder="1" applyAlignment="1">
      <alignment horizontal="center" vertical="center" wrapText="1"/>
    </xf>
    <xf numFmtId="0" fontId="14" fillId="6" borderId="28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 applyProtection="1">
      <alignment horizontal="center" vertical="center" wrapText="1"/>
      <protection locked="0"/>
    </xf>
    <xf numFmtId="0" fontId="14" fillId="8" borderId="6" xfId="0" applyFont="1" applyFill="1" applyBorder="1" applyAlignment="1" applyProtection="1">
      <alignment horizontal="center" vertical="center" wrapText="1"/>
      <protection locked="0"/>
    </xf>
    <xf numFmtId="0" fontId="14" fillId="8" borderId="7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180" fontId="15" fillId="7" borderId="7" xfId="16" applyNumberFormat="1" applyFont="1" applyFill="1" applyBorder="1" applyAlignment="1">
      <alignment horizontal="left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78" fontId="9" fillId="5" borderId="13" xfId="0" applyNumberFormat="1" applyFont="1" applyFill="1" applyBorder="1" applyAlignment="1" applyProtection="1">
      <alignment horizontal="center" vertical="center" wrapText="1"/>
      <protection locked="0"/>
    </xf>
    <xf numFmtId="178" fontId="9" fillId="5" borderId="14" xfId="0" applyNumberFormat="1" applyFont="1" applyFill="1" applyBorder="1" applyAlignment="1" applyProtection="1">
      <alignment horizontal="center" vertical="center" wrapText="1"/>
      <protection locked="0"/>
    </xf>
    <xf numFmtId="178" fontId="9" fillId="5" borderId="21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6" xfId="13" applyFont="1" applyFill="1" applyBorder="1" applyAlignment="1">
      <alignment horizontal="center" vertical="center" wrapText="1"/>
    </xf>
    <xf numFmtId="0" fontId="8" fillId="9" borderId="17" xfId="13" applyFont="1" applyFill="1" applyBorder="1" applyAlignment="1">
      <alignment horizontal="center" vertical="center" wrapText="1"/>
    </xf>
    <xf numFmtId="0" fontId="8" fillId="9" borderId="22" xfId="13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3">
    <cellStyle name="_s00005A" xfId="11" xr:uid="{00000000-0005-0000-0000-000039000000}"/>
    <cellStyle name="_s00011A" xfId="6" xr:uid="{00000000-0005-0000-0000-000034000000}"/>
    <cellStyle name="百分比" xfId="2" builtinId="5"/>
    <cellStyle name="百分比 2" xfId="3" xr:uid="{00000000-0005-0000-0000-000031000000}"/>
    <cellStyle name="百分比 3" xfId="12" xr:uid="{00000000-0005-0000-0000-00003A000000}"/>
    <cellStyle name="百分比 3 2" xfId="7" xr:uid="{00000000-0005-0000-0000-000035000000}"/>
    <cellStyle name="常规" xfId="0" builtinId="0"/>
    <cellStyle name="常规 2" xfId="13" xr:uid="{00000000-0005-0000-0000-00003B000000}"/>
    <cellStyle name="常规 2 4" xfId="14" xr:uid="{00000000-0005-0000-0000-00003C000000}"/>
    <cellStyle name="常规 2 4 2" xfId="15" xr:uid="{00000000-0005-0000-0000-00003D000000}"/>
    <cellStyle name="常规 3" xfId="16" xr:uid="{00000000-0005-0000-0000-00003E000000}"/>
    <cellStyle name="常规 4" xfId="17" xr:uid="{00000000-0005-0000-0000-00003F000000}"/>
    <cellStyle name="常规 4 2" xfId="18" xr:uid="{00000000-0005-0000-0000-000040000000}"/>
    <cellStyle name="常规 5" xfId="19" xr:uid="{00000000-0005-0000-0000-000041000000}"/>
    <cellStyle name="常规 5 2" xfId="5" xr:uid="{00000000-0005-0000-0000-000033000000}"/>
    <cellStyle name="常规 6" xfId="4" xr:uid="{00000000-0005-0000-0000-000032000000}"/>
    <cellStyle name="普通_经营成本_1" xfId="10" xr:uid="{00000000-0005-0000-0000-000038000000}"/>
    <cellStyle name="千位分隔" xfId="1" builtinId="3"/>
    <cellStyle name="千位分隔 2" xfId="20" xr:uid="{00000000-0005-0000-0000-000042000000}"/>
    <cellStyle name="千位分隔 2 2" xfId="21" xr:uid="{00000000-0005-0000-0000-000043000000}"/>
    <cellStyle name="千位分隔 3" xfId="22" xr:uid="{00000000-0005-0000-0000-000044000000}"/>
    <cellStyle name="千位分隔[0] 2" xfId="8" xr:uid="{00000000-0005-0000-0000-000036000000}"/>
    <cellStyle name="千位分隔[0] 3" xfId="9" xr:uid="{00000000-0005-0000-0000-00003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15"/>
  <sheetViews>
    <sheetView workbookViewId="0">
      <selection activeCell="A3" sqref="A3"/>
    </sheetView>
  </sheetViews>
  <sheetFormatPr defaultColWidth="8.90625" defaultRowHeight="15"/>
  <cols>
    <col min="1" max="1" width="108.54296875" style="91" customWidth="1"/>
    <col min="2" max="16384" width="8.90625" style="91"/>
  </cols>
  <sheetData>
    <row r="2" spans="1:1" s="90" customFormat="1" ht="25.9" customHeight="1">
      <c r="A2" s="92" t="s">
        <v>0</v>
      </c>
    </row>
    <row r="3" spans="1:1" ht="30">
      <c r="A3" s="93" t="s">
        <v>1</v>
      </c>
    </row>
    <row r="4" spans="1:1" ht="26.5" customHeight="1">
      <c r="A4" s="93" t="s">
        <v>2</v>
      </c>
    </row>
    <row r="5" spans="1:1" ht="45">
      <c r="A5" s="93" t="s">
        <v>3</v>
      </c>
    </row>
    <row r="6" spans="1:1" ht="95">
      <c r="A6" s="94" t="s">
        <v>4</v>
      </c>
    </row>
    <row r="7" spans="1:1" ht="28.9" customHeight="1">
      <c r="A7" s="94" t="s">
        <v>5</v>
      </c>
    </row>
    <row r="8" spans="1:1" s="90" customFormat="1" ht="25.9" customHeight="1">
      <c r="A8" s="92" t="s">
        <v>6</v>
      </c>
    </row>
    <row r="9" spans="1:1" ht="30">
      <c r="A9" s="93" t="s">
        <v>7</v>
      </c>
    </row>
    <row r="10" spans="1:1" ht="30">
      <c r="A10" s="93" t="s">
        <v>8</v>
      </c>
    </row>
    <row r="11" spans="1:1" ht="31">
      <c r="A11" s="93" t="s">
        <v>9</v>
      </c>
    </row>
    <row r="12" spans="1:1" ht="16">
      <c r="A12" s="93" t="s">
        <v>10</v>
      </c>
    </row>
    <row r="13" spans="1:1" ht="31">
      <c r="A13" s="93" t="s">
        <v>11</v>
      </c>
    </row>
    <row r="14" spans="1:1">
      <c r="A14" s="93" t="s">
        <v>12</v>
      </c>
    </row>
    <row r="15" spans="1:1" ht="31">
      <c r="A15" s="93" t="s">
        <v>13</v>
      </c>
    </row>
  </sheetData>
  <phoneticPr fontId="32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75"/>
  <sheetViews>
    <sheetView tabSelected="1" topLeftCell="A44" workbookViewId="0">
      <selection activeCell="A65" sqref="A65"/>
    </sheetView>
  </sheetViews>
  <sheetFormatPr defaultColWidth="9" defaultRowHeight="13"/>
  <cols>
    <col min="1" max="1" width="25.7265625" style="39" customWidth="1"/>
    <col min="2" max="2" width="9.7265625" style="39" customWidth="1"/>
    <col min="3" max="3" width="7.6328125" style="39" customWidth="1"/>
    <col min="4" max="6" width="7.54296875" style="39" customWidth="1"/>
    <col min="7" max="7" width="10.26953125" style="39" customWidth="1"/>
    <col min="8" max="8" width="9.36328125" style="39" customWidth="1"/>
    <col min="9" max="11" width="7.54296875" style="39" customWidth="1"/>
    <col min="12" max="12" width="13.08984375" style="39" customWidth="1"/>
    <col min="13" max="13" width="11.08984375" style="39" customWidth="1"/>
    <col min="14" max="15" width="8" style="39" customWidth="1"/>
    <col min="16" max="16" width="16.08984375" style="39" customWidth="1"/>
    <col min="17" max="17" width="10.26953125" style="39" customWidth="1"/>
    <col min="18" max="18" width="11.26953125" style="39" customWidth="1"/>
    <col min="19" max="16384" width="9" style="39"/>
  </cols>
  <sheetData>
    <row r="1" spans="1:18" ht="25.5" customHeight="1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8" ht="37.5" customHeight="1">
      <c r="A2" s="128" t="s">
        <v>15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8" s="38" customFormat="1" ht="29">
      <c r="A3" s="98" t="s">
        <v>16</v>
      </c>
      <c r="B3" s="130" t="s">
        <v>17</v>
      </c>
      <c r="C3" s="131"/>
      <c r="D3" s="132" t="s">
        <v>18</v>
      </c>
      <c r="E3" s="133"/>
      <c r="F3" s="41" t="s">
        <v>19</v>
      </c>
      <c r="G3" s="134" t="s">
        <v>20</v>
      </c>
      <c r="H3" s="134"/>
      <c r="I3" s="134"/>
      <c r="J3" s="134"/>
      <c r="K3" s="134"/>
      <c r="L3" s="134"/>
      <c r="M3" s="134"/>
    </row>
    <row r="4" spans="1:18" s="38" customFormat="1" ht="29">
      <c r="A4" s="98"/>
      <c r="B4" s="135" t="s">
        <v>21</v>
      </c>
      <c r="C4" s="136"/>
      <c r="D4" s="132">
        <v>1</v>
      </c>
      <c r="E4" s="133"/>
      <c r="F4" s="41" t="s">
        <v>22</v>
      </c>
      <c r="G4" s="42">
        <f>H31-J31-K31</f>
        <v>0</v>
      </c>
      <c r="H4" s="41" t="s">
        <v>23</v>
      </c>
      <c r="I4" s="42">
        <f>H17-J17-K17</f>
        <v>16.7722513069067</v>
      </c>
      <c r="J4" s="41" t="s">
        <v>24</v>
      </c>
      <c r="K4" s="137">
        <f>H49-J49-K49</f>
        <v>14.955802319543016</v>
      </c>
      <c r="L4" s="137"/>
      <c r="M4" s="137"/>
    </row>
    <row r="5" spans="1:18" s="38" customFormat="1" ht="16.5">
      <c r="A5" s="138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</row>
    <row r="6" spans="1:18" s="38" customFormat="1" ht="29">
      <c r="A6" s="40" t="s">
        <v>25</v>
      </c>
      <c r="B6" s="102" t="s">
        <v>26</v>
      </c>
      <c r="C6" s="102"/>
      <c r="D6" s="102"/>
      <c r="E6" s="102"/>
      <c r="F6" s="41" t="s">
        <v>27</v>
      </c>
      <c r="G6" s="41" t="s">
        <v>28</v>
      </c>
      <c r="H6" s="41" t="s">
        <v>29</v>
      </c>
      <c r="I6" s="41" t="s">
        <v>30</v>
      </c>
      <c r="J6" s="41" t="s">
        <v>31</v>
      </c>
      <c r="K6" s="41" t="s">
        <v>32</v>
      </c>
      <c r="L6" s="102" t="s">
        <v>33</v>
      </c>
      <c r="M6" s="102"/>
    </row>
    <row r="7" spans="1:18" s="38" customFormat="1" ht="16.5">
      <c r="A7" s="99" t="s">
        <v>34</v>
      </c>
      <c r="B7" s="103" t="s">
        <v>35</v>
      </c>
      <c r="C7" s="123" t="s">
        <v>36</v>
      </c>
      <c r="D7" s="124"/>
      <c r="E7" s="125"/>
      <c r="F7" s="43"/>
      <c r="G7" s="43">
        <v>7.91</v>
      </c>
      <c r="H7" s="42">
        <f t="shared" ref="H7:H17" si="0">F7+G7</f>
        <v>7.91</v>
      </c>
      <c r="I7" s="58">
        <v>0.06</v>
      </c>
      <c r="J7" s="42">
        <f>F7/(1+I7)*I7</f>
        <v>0</v>
      </c>
      <c r="K7" s="42">
        <f t="shared" ref="K7:K16" si="1">G7/(1+I7)*I7</f>
        <v>0.44773584905660374</v>
      </c>
      <c r="L7" s="111" t="s">
        <v>37</v>
      </c>
      <c r="M7" s="111"/>
      <c r="N7" s="61"/>
      <c r="O7" s="62"/>
    </row>
    <row r="8" spans="1:18" s="38" customFormat="1" ht="16.5">
      <c r="A8" s="100"/>
      <c r="B8" s="104"/>
      <c r="C8" s="123" t="s">
        <v>38</v>
      </c>
      <c r="D8" s="124"/>
      <c r="E8" s="125"/>
      <c r="F8" s="43"/>
      <c r="G8" s="43"/>
      <c r="H8" s="42">
        <f t="shared" si="0"/>
        <v>0</v>
      </c>
      <c r="I8" s="58">
        <v>0.06</v>
      </c>
      <c r="J8" s="42">
        <f t="shared" ref="J8:J12" si="2">F8/(1+I8)*I8</f>
        <v>0</v>
      </c>
      <c r="K8" s="42">
        <f t="shared" ref="K8:K12" si="3">G8/(1+I8)*I8</f>
        <v>0</v>
      </c>
      <c r="L8" s="111" t="s">
        <v>39</v>
      </c>
      <c r="M8" s="111"/>
      <c r="N8" s="61"/>
      <c r="O8" s="62"/>
    </row>
    <row r="9" spans="1:18" s="38" customFormat="1" ht="16.5">
      <c r="A9" s="100"/>
      <c r="B9" s="104"/>
      <c r="C9" s="123" t="s">
        <v>40</v>
      </c>
      <c r="D9" s="124"/>
      <c r="E9" s="125"/>
      <c r="F9" s="43"/>
      <c r="G9" s="43"/>
      <c r="H9" s="42">
        <f t="shared" si="0"/>
        <v>0</v>
      </c>
      <c r="I9" s="58">
        <v>0.09</v>
      </c>
      <c r="J9" s="42">
        <f t="shared" si="2"/>
        <v>0</v>
      </c>
      <c r="K9" s="42">
        <f t="shared" si="3"/>
        <v>0</v>
      </c>
      <c r="L9" s="111" t="s">
        <v>41</v>
      </c>
      <c r="M9" s="111"/>
      <c r="N9" s="61"/>
      <c r="O9" s="62"/>
    </row>
    <row r="10" spans="1:18" s="38" customFormat="1" ht="16.5">
      <c r="A10" s="100"/>
      <c r="B10" s="104"/>
      <c r="C10" s="123" t="s">
        <v>42</v>
      </c>
      <c r="D10" s="124"/>
      <c r="E10" s="125"/>
      <c r="F10" s="43"/>
      <c r="G10" s="43"/>
      <c r="H10" s="42">
        <f t="shared" si="0"/>
        <v>0</v>
      </c>
      <c r="I10" s="58">
        <v>0.06</v>
      </c>
      <c r="J10" s="42">
        <f t="shared" si="2"/>
        <v>0</v>
      </c>
      <c r="K10" s="42">
        <f t="shared" si="3"/>
        <v>0</v>
      </c>
      <c r="L10" s="111" t="s">
        <v>43</v>
      </c>
      <c r="M10" s="111"/>
      <c r="N10" s="61"/>
      <c r="O10" s="62"/>
    </row>
    <row r="11" spans="1:18" s="38" customFormat="1" ht="16.5">
      <c r="A11" s="100"/>
      <c r="B11" s="104"/>
      <c r="C11" s="123" t="s">
        <v>44</v>
      </c>
      <c r="D11" s="124"/>
      <c r="E11" s="125"/>
      <c r="F11" s="43"/>
      <c r="G11" s="43"/>
      <c r="H11" s="42">
        <f t="shared" si="0"/>
        <v>0</v>
      </c>
      <c r="I11" s="58">
        <v>0.06</v>
      </c>
      <c r="J11" s="42">
        <f t="shared" si="2"/>
        <v>0</v>
      </c>
      <c r="K11" s="42">
        <f t="shared" si="3"/>
        <v>0</v>
      </c>
      <c r="L11" s="111" t="s">
        <v>45</v>
      </c>
      <c r="M11" s="111"/>
      <c r="N11" s="61"/>
      <c r="O11" s="62"/>
    </row>
    <row r="12" spans="1:18" s="38" customFormat="1" ht="16.5">
      <c r="A12" s="100"/>
      <c r="B12" s="104"/>
      <c r="C12" s="123" t="s">
        <v>46</v>
      </c>
      <c r="D12" s="124"/>
      <c r="E12" s="125"/>
      <c r="F12" s="43"/>
      <c r="G12" s="43"/>
      <c r="H12" s="42">
        <f t="shared" si="0"/>
        <v>0</v>
      </c>
      <c r="I12" s="58">
        <v>0.13</v>
      </c>
      <c r="J12" s="42">
        <f t="shared" si="2"/>
        <v>0</v>
      </c>
      <c r="K12" s="42">
        <f t="shared" si="3"/>
        <v>0</v>
      </c>
      <c r="L12" s="111" t="s">
        <v>47</v>
      </c>
      <c r="M12" s="111"/>
      <c r="N12" s="61"/>
      <c r="O12" s="62"/>
    </row>
    <row r="13" spans="1:18" s="38" customFormat="1" ht="16.5">
      <c r="A13" s="100"/>
      <c r="B13" s="104"/>
      <c r="C13" s="123" t="s">
        <v>48</v>
      </c>
      <c r="D13" s="124"/>
      <c r="E13" s="125"/>
      <c r="F13" s="43"/>
      <c r="G13" s="43"/>
      <c r="H13" s="42">
        <f t="shared" si="0"/>
        <v>0</v>
      </c>
      <c r="I13" s="58">
        <v>0.13</v>
      </c>
      <c r="J13" s="42">
        <f t="shared" ref="J13:J16" si="4">F13/(1+I13)*I13</f>
        <v>0</v>
      </c>
      <c r="K13" s="42">
        <f t="shared" si="1"/>
        <v>0</v>
      </c>
      <c r="L13" s="111" t="s">
        <v>49</v>
      </c>
      <c r="M13" s="111"/>
      <c r="N13" s="61"/>
      <c r="O13" s="62"/>
    </row>
    <row r="14" spans="1:18" s="38" customFormat="1" ht="16.5">
      <c r="A14" s="100"/>
      <c r="B14" s="104"/>
      <c r="C14" s="123" t="s">
        <v>50</v>
      </c>
      <c r="D14" s="124"/>
      <c r="E14" s="125"/>
      <c r="F14" s="43"/>
      <c r="G14" s="43"/>
      <c r="H14" s="42">
        <f t="shared" si="0"/>
        <v>0</v>
      </c>
      <c r="I14" s="58">
        <v>0.13</v>
      </c>
      <c r="J14" s="42">
        <f t="shared" si="4"/>
        <v>0</v>
      </c>
      <c r="K14" s="42">
        <f t="shared" si="1"/>
        <v>0</v>
      </c>
      <c r="L14" s="111" t="s">
        <v>51</v>
      </c>
      <c r="M14" s="111"/>
      <c r="N14" s="61"/>
      <c r="O14" s="62"/>
    </row>
    <row r="15" spans="1:18" s="38" customFormat="1" ht="16.5">
      <c r="A15" s="100"/>
      <c r="B15" s="104"/>
      <c r="C15" s="123" t="s">
        <v>52</v>
      </c>
      <c r="D15" s="124"/>
      <c r="E15" s="125"/>
      <c r="F15" s="43"/>
      <c r="G15" s="43"/>
      <c r="H15" s="42">
        <f t="shared" si="0"/>
        <v>0</v>
      </c>
      <c r="I15" s="58">
        <v>0.13</v>
      </c>
      <c r="J15" s="42">
        <f t="shared" si="4"/>
        <v>0</v>
      </c>
      <c r="K15" s="42">
        <f t="shared" si="1"/>
        <v>0</v>
      </c>
      <c r="L15" s="111" t="s">
        <v>53</v>
      </c>
      <c r="M15" s="111"/>
      <c r="N15" s="61"/>
      <c r="O15" s="62"/>
    </row>
    <row r="16" spans="1:18" s="38" customFormat="1" ht="16.5">
      <c r="A16" s="100"/>
      <c r="B16" s="105"/>
      <c r="C16" s="123" t="s">
        <v>54</v>
      </c>
      <c r="D16" s="124"/>
      <c r="E16" s="125"/>
      <c r="F16" s="43"/>
      <c r="G16" s="43">
        <v>10.147886</v>
      </c>
      <c r="H16" s="42">
        <f t="shared" si="0"/>
        <v>10.147886</v>
      </c>
      <c r="I16" s="63">
        <v>0.09</v>
      </c>
      <c r="J16" s="42">
        <f t="shared" si="4"/>
        <v>0</v>
      </c>
      <c r="K16" s="42">
        <f t="shared" si="1"/>
        <v>0.83789884403669712</v>
      </c>
      <c r="L16" s="111" t="s">
        <v>55</v>
      </c>
      <c r="M16" s="111"/>
      <c r="N16" s="61"/>
      <c r="O16" s="62"/>
      <c r="P16" s="38">
        <v>0.19600000000000001</v>
      </c>
      <c r="Q16" s="38">
        <v>9.9499999999999993</v>
      </c>
      <c r="R16" s="38">
        <f>P16+Q16</f>
        <v>10.145999999999999</v>
      </c>
    </row>
    <row r="17" spans="1:16" s="38" customFormat="1" ht="16.5">
      <c r="A17" s="101"/>
      <c r="B17" s="102" t="s">
        <v>56</v>
      </c>
      <c r="C17" s="102"/>
      <c r="D17" s="102"/>
      <c r="E17" s="102"/>
      <c r="F17" s="44">
        <f>SUM(F7:F16)</f>
        <v>0</v>
      </c>
      <c r="G17" s="44">
        <f>SUM(G7:G16)</f>
        <v>18.057886</v>
      </c>
      <c r="H17" s="44">
        <f t="shared" si="0"/>
        <v>18.057886</v>
      </c>
      <c r="I17" s="64"/>
      <c r="J17" s="65">
        <f>SUM(J7:J16)</f>
        <v>0</v>
      </c>
      <c r="K17" s="65">
        <f>SUM(K7:K16)</f>
        <v>1.2856346930933009</v>
      </c>
      <c r="L17" s="111"/>
      <c r="M17" s="111"/>
      <c r="N17" s="61"/>
      <c r="O17" s="66"/>
    </row>
    <row r="18" spans="1:16" s="38" customFormat="1" ht="16.5">
      <c r="A18" s="102" t="s">
        <v>57</v>
      </c>
      <c r="B18" s="102" t="s">
        <v>58</v>
      </c>
      <c r="C18" s="112" t="s">
        <v>59</v>
      </c>
      <c r="D18" s="113"/>
      <c r="E18" s="114"/>
      <c r="F18" s="42">
        <f>SUM(F19:F24)</f>
        <v>0</v>
      </c>
      <c r="G18" s="42">
        <f>SUM(G19:G24)</f>
        <v>0</v>
      </c>
      <c r="H18" s="42">
        <f t="shared" ref="H18:H29" si="5">F18+G18</f>
        <v>0</v>
      </c>
      <c r="I18" s="63"/>
      <c r="J18" s="42">
        <f>SUM(J19:J24)</f>
        <v>0</v>
      </c>
      <c r="K18" s="42">
        <f>SUM(K19:K24)</f>
        <v>0</v>
      </c>
      <c r="L18" s="111"/>
      <c r="M18" s="111"/>
      <c r="N18" s="61"/>
      <c r="O18" s="62"/>
    </row>
    <row r="19" spans="1:16" s="38" customFormat="1" ht="16.5">
      <c r="A19" s="102"/>
      <c r="B19" s="102"/>
      <c r="C19" s="108" t="s">
        <v>60</v>
      </c>
      <c r="D19" s="109"/>
      <c r="E19" s="110"/>
      <c r="F19" s="45"/>
      <c r="G19" s="43"/>
      <c r="H19" s="42">
        <f t="shared" si="5"/>
        <v>0</v>
      </c>
      <c r="I19" s="58">
        <v>0.13</v>
      </c>
      <c r="J19" s="42">
        <f>F19/(1+I19)*I19</f>
        <v>0</v>
      </c>
      <c r="K19" s="42">
        <f t="shared" ref="K19:K24" si="6">G19/(1+I19)*I19</f>
        <v>0</v>
      </c>
      <c r="L19" s="111" t="s">
        <v>61</v>
      </c>
      <c r="M19" s="111"/>
      <c r="N19" s="61"/>
      <c r="O19" s="62"/>
    </row>
    <row r="20" spans="1:16" s="38" customFormat="1" ht="16.5">
      <c r="A20" s="102"/>
      <c r="B20" s="102"/>
      <c r="C20" s="108" t="s">
        <v>62</v>
      </c>
      <c r="D20" s="109"/>
      <c r="E20" s="110"/>
      <c r="F20" s="43"/>
      <c r="G20" s="43"/>
      <c r="H20" s="42">
        <f t="shared" si="5"/>
        <v>0</v>
      </c>
      <c r="I20" s="58">
        <v>0.06</v>
      </c>
      <c r="J20" s="42">
        <f t="shared" ref="J20:J24" si="7">F20/(1+I20)*I20</f>
        <v>0</v>
      </c>
      <c r="K20" s="42">
        <f t="shared" si="6"/>
        <v>0</v>
      </c>
      <c r="L20" s="111" t="s">
        <v>63</v>
      </c>
      <c r="M20" s="111"/>
      <c r="N20" s="61"/>
      <c r="O20" s="62"/>
    </row>
    <row r="21" spans="1:16" s="38" customFormat="1" ht="16.5">
      <c r="A21" s="102"/>
      <c r="B21" s="102"/>
      <c r="C21" s="108" t="s">
        <v>64</v>
      </c>
      <c r="D21" s="109"/>
      <c r="E21" s="110"/>
      <c r="F21" s="43"/>
      <c r="G21" s="43"/>
      <c r="H21" s="42">
        <f t="shared" si="5"/>
        <v>0</v>
      </c>
      <c r="I21" s="58">
        <v>0.06</v>
      </c>
      <c r="J21" s="42">
        <f t="shared" si="7"/>
        <v>0</v>
      </c>
      <c r="K21" s="42">
        <f t="shared" si="6"/>
        <v>0</v>
      </c>
      <c r="L21" s="111" t="s">
        <v>65</v>
      </c>
      <c r="M21" s="111"/>
      <c r="N21" s="61"/>
      <c r="O21" s="62"/>
    </row>
    <row r="22" spans="1:16" s="38" customFormat="1" ht="16.5">
      <c r="A22" s="102"/>
      <c r="B22" s="102"/>
      <c r="C22" s="108" t="s">
        <v>66</v>
      </c>
      <c r="D22" s="109"/>
      <c r="E22" s="110"/>
      <c r="F22" s="43"/>
      <c r="G22" s="43"/>
      <c r="H22" s="42">
        <f t="shared" si="5"/>
        <v>0</v>
      </c>
      <c r="I22" s="63"/>
      <c r="J22" s="42">
        <f t="shared" si="7"/>
        <v>0</v>
      </c>
      <c r="K22" s="42">
        <f t="shared" si="6"/>
        <v>0</v>
      </c>
      <c r="L22" s="111" t="s">
        <v>67</v>
      </c>
      <c r="M22" s="111"/>
      <c r="N22" s="61"/>
      <c r="O22" s="62"/>
    </row>
    <row r="23" spans="1:16" s="38" customFormat="1" ht="16.5">
      <c r="A23" s="102"/>
      <c r="B23" s="102"/>
      <c r="C23" s="108" t="s">
        <v>68</v>
      </c>
      <c r="D23" s="109"/>
      <c r="E23" s="110"/>
      <c r="F23" s="43"/>
      <c r="G23" s="43"/>
      <c r="H23" s="42">
        <f t="shared" si="5"/>
        <v>0</v>
      </c>
      <c r="I23" s="63"/>
      <c r="J23" s="42">
        <f t="shared" si="7"/>
        <v>0</v>
      </c>
      <c r="K23" s="42">
        <f t="shared" si="6"/>
        <v>0</v>
      </c>
      <c r="L23" s="111" t="s">
        <v>69</v>
      </c>
      <c r="M23" s="111"/>
      <c r="N23" s="61"/>
      <c r="O23" s="62"/>
    </row>
    <row r="24" spans="1:16" s="38" customFormat="1" ht="16.5">
      <c r="A24" s="102"/>
      <c r="B24" s="102"/>
      <c r="C24" s="108" t="s">
        <v>70</v>
      </c>
      <c r="D24" s="109"/>
      <c r="E24" s="110"/>
      <c r="F24" s="43"/>
      <c r="G24" s="43"/>
      <c r="H24" s="42">
        <f t="shared" si="5"/>
        <v>0</v>
      </c>
      <c r="I24" s="58">
        <v>0.06</v>
      </c>
      <c r="J24" s="42">
        <f t="shared" si="7"/>
        <v>0</v>
      </c>
      <c r="K24" s="42">
        <f t="shared" si="6"/>
        <v>0</v>
      </c>
      <c r="L24" s="111" t="s">
        <v>71</v>
      </c>
      <c r="M24" s="111"/>
      <c r="N24" s="61"/>
      <c r="O24" s="62"/>
    </row>
    <row r="25" spans="1:16" s="38" customFormat="1" ht="16.5">
      <c r="A25" s="102"/>
      <c r="B25" s="102"/>
      <c r="C25" s="112" t="s">
        <v>72</v>
      </c>
      <c r="D25" s="113"/>
      <c r="E25" s="114"/>
      <c r="F25" s="42">
        <f>SUM(F26:F28)</f>
        <v>0</v>
      </c>
      <c r="G25" s="42">
        <f>SUM(G26:G28)</f>
        <v>0</v>
      </c>
      <c r="H25" s="42">
        <f t="shared" si="5"/>
        <v>0</v>
      </c>
      <c r="I25" s="63"/>
      <c r="J25" s="42">
        <f>SUM(J26:J28)</f>
        <v>0</v>
      </c>
      <c r="K25" s="42">
        <f>SUM(K26:K28)</f>
        <v>0</v>
      </c>
      <c r="L25" s="111"/>
      <c r="M25" s="111"/>
      <c r="N25" s="61"/>
      <c r="O25" s="62"/>
    </row>
    <row r="26" spans="1:16" s="38" customFormat="1" ht="16.5">
      <c r="A26" s="102"/>
      <c r="B26" s="102"/>
      <c r="C26" s="108" t="s">
        <v>73</v>
      </c>
      <c r="D26" s="109"/>
      <c r="E26" s="110"/>
      <c r="F26" s="43"/>
      <c r="G26" s="43"/>
      <c r="H26" s="42">
        <f t="shared" si="5"/>
        <v>0</v>
      </c>
      <c r="I26" s="58">
        <v>0.13</v>
      </c>
      <c r="J26" s="42">
        <f>F26/(1+I26)*I26</f>
        <v>0</v>
      </c>
      <c r="K26" s="42">
        <f>G26/(1+I26)*I26</f>
        <v>0</v>
      </c>
      <c r="L26" s="111" t="s">
        <v>74</v>
      </c>
      <c r="M26" s="111"/>
      <c r="N26" s="61"/>
      <c r="O26" s="62"/>
    </row>
    <row r="27" spans="1:16" s="38" customFormat="1" ht="16.5">
      <c r="A27" s="102"/>
      <c r="B27" s="102"/>
      <c r="C27" s="108" t="s">
        <v>75</v>
      </c>
      <c r="D27" s="109"/>
      <c r="E27" s="110"/>
      <c r="F27" s="45"/>
      <c r="G27" s="43"/>
      <c r="H27" s="42">
        <f t="shared" si="5"/>
        <v>0</v>
      </c>
      <c r="I27" s="58">
        <v>0.13</v>
      </c>
      <c r="J27" s="42">
        <f>F27/(1+I27)*I27</f>
        <v>0</v>
      </c>
      <c r="K27" s="42">
        <f>G27/(1+I27)*I27</f>
        <v>0</v>
      </c>
      <c r="L27" s="111" t="s">
        <v>76</v>
      </c>
      <c r="M27" s="111"/>
      <c r="N27" s="61"/>
      <c r="O27" s="62"/>
      <c r="P27" s="67">
        <f>Q56</f>
        <v>8.1225633672789149E-2</v>
      </c>
    </row>
    <row r="28" spans="1:16" s="38" customFormat="1" ht="16.5">
      <c r="A28" s="102"/>
      <c r="B28" s="102"/>
      <c r="C28" s="108" t="s">
        <v>77</v>
      </c>
      <c r="D28" s="109"/>
      <c r="E28" s="110"/>
      <c r="F28" s="45"/>
      <c r="G28" s="43"/>
      <c r="H28" s="42">
        <f t="shared" si="5"/>
        <v>0</v>
      </c>
      <c r="I28" s="58">
        <v>0.13</v>
      </c>
      <c r="J28" s="42">
        <f t="shared" ref="J28:J30" si="8">F28/(1+I28)*I28</f>
        <v>0</v>
      </c>
      <c r="K28" s="42">
        <f t="shared" ref="K28:K30" si="9">G28/(1+I28)*I28</f>
        <v>0</v>
      </c>
      <c r="L28" s="111" t="s">
        <v>78</v>
      </c>
      <c r="M28" s="111"/>
      <c r="N28" s="61"/>
      <c r="O28" s="62"/>
      <c r="P28" s="67">
        <f>Q57</f>
        <v>8.8406508332930109E-2</v>
      </c>
    </row>
    <row r="29" spans="1:16" s="38" customFormat="1" ht="16.5">
      <c r="A29" s="102"/>
      <c r="B29" s="102"/>
      <c r="C29" s="112" t="s">
        <v>79</v>
      </c>
      <c r="D29" s="113"/>
      <c r="E29" s="114"/>
      <c r="F29" s="42">
        <f>SUM(F30)</f>
        <v>0</v>
      </c>
      <c r="G29" s="42">
        <f>SUM(G30)</f>
        <v>0</v>
      </c>
      <c r="H29" s="42">
        <f t="shared" si="5"/>
        <v>0</v>
      </c>
      <c r="I29" s="63"/>
      <c r="J29" s="42">
        <f>SUM(J30)</f>
        <v>0</v>
      </c>
      <c r="K29" s="42">
        <f>SUM(K30)</f>
        <v>0</v>
      </c>
      <c r="L29" s="111" t="s">
        <v>80</v>
      </c>
      <c r="M29" s="111"/>
      <c r="N29" s="61"/>
      <c r="O29" s="62"/>
    </row>
    <row r="30" spans="1:16" s="38" customFormat="1" ht="16.5">
      <c r="A30" s="102"/>
      <c r="B30" s="102"/>
      <c r="C30" s="108" t="s">
        <v>81</v>
      </c>
      <c r="D30" s="109"/>
      <c r="E30" s="110"/>
      <c r="F30" s="46"/>
      <c r="G30" s="46"/>
      <c r="H30" s="42">
        <f t="shared" ref="H30:H49" si="10">F30+G30</f>
        <v>0</v>
      </c>
      <c r="I30" s="63"/>
      <c r="J30" s="42">
        <f t="shared" si="8"/>
        <v>0</v>
      </c>
      <c r="K30" s="42">
        <f t="shared" si="9"/>
        <v>0</v>
      </c>
      <c r="L30" s="111" t="s">
        <v>80</v>
      </c>
      <c r="M30" s="111"/>
      <c r="N30" s="61"/>
      <c r="O30" s="62"/>
    </row>
    <row r="31" spans="1:16" s="38" customFormat="1" ht="16.5">
      <c r="A31" s="102"/>
      <c r="B31" s="102" t="s">
        <v>82</v>
      </c>
      <c r="C31" s="102"/>
      <c r="D31" s="102"/>
      <c r="E31" s="102"/>
      <c r="F31" s="44">
        <f>F18+F25+F29</f>
        <v>0</v>
      </c>
      <c r="G31" s="44">
        <f>G18+G25+G29</f>
        <v>0</v>
      </c>
      <c r="H31" s="44">
        <f t="shared" si="10"/>
        <v>0</v>
      </c>
      <c r="I31" s="64"/>
      <c r="J31" s="44">
        <f>J18+J25+J29</f>
        <v>0</v>
      </c>
      <c r="K31" s="44">
        <f>K18+K25+K29</f>
        <v>0</v>
      </c>
      <c r="L31" s="111"/>
      <c r="M31" s="111"/>
      <c r="N31" s="61"/>
      <c r="O31" s="62"/>
    </row>
    <row r="32" spans="1:16" s="38" customFormat="1" ht="16.5">
      <c r="A32" s="102"/>
      <c r="B32" s="102" t="s">
        <v>83</v>
      </c>
      <c r="C32" s="112" t="s">
        <v>84</v>
      </c>
      <c r="D32" s="113" t="s">
        <v>85</v>
      </c>
      <c r="E32" s="114" t="e">
        <f>H32/SUM(H18:H30)</f>
        <v>#DIV/0!</v>
      </c>
      <c r="F32" s="42">
        <f>SUM(F33:F37)</f>
        <v>0</v>
      </c>
      <c r="G32" s="42">
        <f>SUM(G33:G37)</f>
        <v>16.101900000000001</v>
      </c>
      <c r="H32" s="42">
        <f t="shared" si="10"/>
        <v>16.101900000000001</v>
      </c>
      <c r="I32" s="63"/>
      <c r="J32" s="42">
        <f>SUM(J33:J37)</f>
        <v>0</v>
      </c>
      <c r="K32" s="42">
        <f>SUM(K33:K37)</f>
        <v>1.1460976804569845</v>
      </c>
      <c r="L32" s="111"/>
      <c r="M32" s="111"/>
      <c r="N32" s="61"/>
      <c r="O32" s="62"/>
    </row>
    <row r="33" spans="1:18" s="38" customFormat="1" ht="16.5">
      <c r="A33" s="102"/>
      <c r="B33" s="102"/>
      <c r="C33" s="108" t="s">
        <v>86</v>
      </c>
      <c r="D33" s="109"/>
      <c r="E33" s="110"/>
      <c r="F33" s="46"/>
      <c r="G33" s="46"/>
      <c r="H33" s="42">
        <f t="shared" si="10"/>
        <v>0</v>
      </c>
      <c r="I33" s="58">
        <v>0.13</v>
      </c>
      <c r="J33" s="42">
        <f t="shared" ref="J33:J45" si="11">F33/(1+I33)*I33</f>
        <v>0</v>
      </c>
      <c r="K33" s="42">
        <f t="shared" ref="K33:K45" si="12">G33/(1+I33)*I33</f>
        <v>0</v>
      </c>
      <c r="L33" s="111" t="s">
        <v>87</v>
      </c>
      <c r="M33" s="111"/>
      <c r="N33" s="61"/>
      <c r="O33" s="62"/>
    </row>
    <row r="34" spans="1:18" s="38" customFormat="1" ht="16.5">
      <c r="A34" s="102"/>
      <c r="B34" s="102"/>
      <c r="C34" s="108" t="s">
        <v>88</v>
      </c>
      <c r="D34" s="109"/>
      <c r="E34" s="110"/>
      <c r="F34" s="46"/>
      <c r="G34" s="47">
        <v>7.0640000000000001</v>
      </c>
      <c r="H34" s="42">
        <f t="shared" si="10"/>
        <v>7.0640000000000001</v>
      </c>
      <c r="I34" s="58">
        <v>0.06</v>
      </c>
      <c r="J34" s="42">
        <f t="shared" si="11"/>
        <v>0</v>
      </c>
      <c r="K34" s="42">
        <f t="shared" si="12"/>
        <v>0.39984905660377357</v>
      </c>
      <c r="L34" s="111" t="s">
        <v>89</v>
      </c>
      <c r="M34" s="111"/>
      <c r="N34" s="61"/>
      <c r="O34" s="62"/>
    </row>
    <row r="35" spans="1:18" s="38" customFormat="1" ht="16.5">
      <c r="A35" s="102"/>
      <c r="B35" s="102"/>
      <c r="C35" s="120" t="s">
        <v>90</v>
      </c>
      <c r="D35" s="121"/>
      <c r="E35" s="122"/>
      <c r="F35" s="48"/>
      <c r="G35" s="46"/>
      <c r="H35" s="42">
        <f t="shared" si="10"/>
        <v>0</v>
      </c>
      <c r="I35" s="58">
        <v>0.06</v>
      </c>
      <c r="J35" s="42">
        <f t="shared" si="11"/>
        <v>0</v>
      </c>
      <c r="K35" s="42">
        <f t="shared" si="12"/>
        <v>0</v>
      </c>
      <c r="L35" s="111" t="s">
        <v>91</v>
      </c>
      <c r="M35" s="111"/>
      <c r="N35" s="61"/>
      <c r="O35" s="62"/>
    </row>
    <row r="36" spans="1:18" s="38" customFormat="1" ht="16.5">
      <c r="A36" s="102"/>
      <c r="B36" s="102"/>
      <c r="C36" s="108" t="s">
        <v>92</v>
      </c>
      <c r="D36" s="109"/>
      <c r="E36" s="110"/>
      <c r="F36" s="46"/>
      <c r="G36" s="46">
        <v>9.0379000000000005</v>
      </c>
      <c r="H36" s="42">
        <f t="shared" si="10"/>
        <v>9.0379000000000005</v>
      </c>
      <c r="I36" s="58">
        <v>0.09</v>
      </c>
      <c r="J36" s="42">
        <f t="shared" si="11"/>
        <v>0</v>
      </c>
      <c r="K36" s="42">
        <f t="shared" si="12"/>
        <v>0.74624862385321089</v>
      </c>
      <c r="L36" s="111" t="s">
        <v>93</v>
      </c>
      <c r="M36" s="111"/>
      <c r="N36" s="61"/>
      <c r="O36" s="62"/>
      <c r="P36" s="38">
        <v>0.1489</v>
      </c>
      <c r="Q36" s="38">
        <v>8.8889999999999993</v>
      </c>
      <c r="R36" s="38">
        <f>P36+Q36</f>
        <v>9.0378999999999987</v>
      </c>
    </row>
    <row r="37" spans="1:18" s="38" customFormat="1" ht="16.5">
      <c r="A37" s="102"/>
      <c r="B37" s="102"/>
      <c r="C37" s="108" t="s">
        <v>94</v>
      </c>
      <c r="D37" s="109"/>
      <c r="E37" s="110"/>
      <c r="F37" s="46"/>
      <c r="G37" s="46"/>
      <c r="H37" s="42">
        <f t="shared" si="10"/>
        <v>0</v>
      </c>
      <c r="I37" s="63"/>
      <c r="J37" s="42">
        <f t="shared" si="11"/>
        <v>0</v>
      </c>
      <c r="K37" s="42">
        <f t="shared" ref="K37:K44" si="13">G37/(1+I37)*I37</f>
        <v>0</v>
      </c>
      <c r="L37" s="111" t="s">
        <v>95</v>
      </c>
      <c r="M37" s="111"/>
      <c r="N37" s="61"/>
      <c r="O37" s="62"/>
    </row>
    <row r="38" spans="1:18" s="38" customFormat="1" ht="16.5">
      <c r="A38" s="102"/>
      <c r="B38" s="102"/>
      <c r="C38" s="112" t="s">
        <v>96</v>
      </c>
      <c r="D38" s="113"/>
      <c r="E38" s="114"/>
      <c r="F38" s="42">
        <f>SUM(F39:F41)</f>
        <v>0</v>
      </c>
      <c r="G38" s="42">
        <f>SUM(G39:G41)</f>
        <v>0</v>
      </c>
      <c r="H38" s="42">
        <f t="shared" si="10"/>
        <v>0</v>
      </c>
      <c r="I38" s="63"/>
      <c r="J38" s="42">
        <f>SUM(J39:J41)</f>
        <v>0</v>
      </c>
      <c r="K38" s="42">
        <f>SUM(K39:K41)</f>
        <v>0</v>
      </c>
      <c r="L38" s="111"/>
      <c r="M38" s="111"/>
      <c r="N38" s="61"/>
      <c r="O38" s="62"/>
    </row>
    <row r="39" spans="1:18" s="38" customFormat="1" ht="16.5">
      <c r="A39" s="102"/>
      <c r="B39" s="102"/>
      <c r="C39" s="120" t="s">
        <v>97</v>
      </c>
      <c r="D39" s="121"/>
      <c r="E39" s="122"/>
      <c r="F39" s="43"/>
      <c r="G39" s="43"/>
      <c r="H39" s="42">
        <f t="shared" si="10"/>
        <v>0</v>
      </c>
      <c r="I39" s="58">
        <v>0.06</v>
      </c>
      <c r="J39" s="42">
        <f t="shared" si="11"/>
        <v>0</v>
      </c>
      <c r="K39" s="42">
        <f t="shared" si="13"/>
        <v>0</v>
      </c>
      <c r="L39" s="111" t="s">
        <v>98</v>
      </c>
      <c r="M39" s="111"/>
      <c r="N39" s="61"/>
      <c r="O39" s="62"/>
    </row>
    <row r="40" spans="1:18" s="38" customFormat="1" ht="16.5">
      <c r="A40" s="102"/>
      <c r="B40" s="102"/>
      <c r="C40" s="108" t="s">
        <v>99</v>
      </c>
      <c r="D40" s="109"/>
      <c r="E40" s="110"/>
      <c r="F40" s="43"/>
      <c r="G40" s="43"/>
      <c r="H40" s="42">
        <f t="shared" si="10"/>
        <v>0</v>
      </c>
      <c r="I40" s="58">
        <v>0.13</v>
      </c>
      <c r="J40" s="42">
        <f t="shared" si="11"/>
        <v>0</v>
      </c>
      <c r="K40" s="42">
        <f t="shared" si="13"/>
        <v>0</v>
      </c>
      <c r="L40" s="111" t="s">
        <v>100</v>
      </c>
      <c r="M40" s="111"/>
      <c r="N40" s="61"/>
      <c r="O40" s="62"/>
    </row>
    <row r="41" spans="1:18" s="38" customFormat="1" ht="16.5">
      <c r="A41" s="102"/>
      <c r="B41" s="102"/>
      <c r="C41" s="108" t="s">
        <v>101</v>
      </c>
      <c r="D41" s="109"/>
      <c r="E41" s="110"/>
      <c r="F41" s="43"/>
      <c r="G41" s="43"/>
      <c r="H41" s="42">
        <f t="shared" si="10"/>
        <v>0</v>
      </c>
      <c r="I41" s="58"/>
      <c r="J41" s="42">
        <f t="shared" si="11"/>
        <v>0</v>
      </c>
      <c r="K41" s="42">
        <f t="shared" si="13"/>
        <v>0</v>
      </c>
      <c r="L41" s="111" t="s">
        <v>102</v>
      </c>
      <c r="M41" s="111"/>
      <c r="N41" s="61"/>
      <c r="O41" s="62"/>
    </row>
    <row r="42" spans="1:18" s="38" customFormat="1" ht="16.5">
      <c r="A42" s="102"/>
      <c r="B42" s="102"/>
      <c r="C42" s="112" t="s">
        <v>103</v>
      </c>
      <c r="D42" s="113"/>
      <c r="E42" s="114"/>
      <c r="F42" s="42">
        <f>SUM(F43:F46)</f>
        <v>0</v>
      </c>
      <c r="G42" s="42">
        <f>SUM(G43:G46)</f>
        <v>0</v>
      </c>
      <c r="H42" s="42">
        <f t="shared" si="10"/>
        <v>0</v>
      </c>
      <c r="I42" s="63"/>
      <c r="J42" s="42">
        <f>SUM(J43:J46)</f>
        <v>0</v>
      </c>
      <c r="K42" s="42">
        <f>SUM(K43:K46)</f>
        <v>0</v>
      </c>
      <c r="L42" s="111"/>
      <c r="M42" s="111"/>
      <c r="N42" s="61"/>
      <c r="O42" s="62"/>
    </row>
    <row r="43" spans="1:18" s="38" customFormat="1" ht="16.5">
      <c r="A43" s="102"/>
      <c r="B43" s="102"/>
      <c r="C43" s="108" t="s">
        <v>104</v>
      </c>
      <c r="D43" s="109"/>
      <c r="E43" s="110"/>
      <c r="F43" s="43"/>
      <c r="G43" s="43"/>
      <c r="H43" s="42">
        <f t="shared" si="10"/>
        <v>0</v>
      </c>
      <c r="I43" s="58">
        <v>0.06</v>
      </c>
      <c r="J43" s="42">
        <f t="shared" si="11"/>
        <v>0</v>
      </c>
      <c r="K43" s="42">
        <f t="shared" si="13"/>
        <v>0</v>
      </c>
      <c r="L43" s="111" t="s">
        <v>105</v>
      </c>
      <c r="M43" s="111"/>
      <c r="N43" s="61"/>
      <c r="O43" s="62"/>
    </row>
    <row r="44" spans="1:18" s="38" customFormat="1" ht="16.5">
      <c r="A44" s="102"/>
      <c r="B44" s="102"/>
      <c r="C44" s="108" t="s">
        <v>106</v>
      </c>
      <c r="D44" s="109"/>
      <c r="E44" s="110"/>
      <c r="F44" s="43"/>
      <c r="G44" s="43"/>
      <c r="H44" s="42">
        <f t="shared" si="10"/>
        <v>0</v>
      </c>
      <c r="I44" s="58">
        <v>0.06</v>
      </c>
      <c r="J44" s="42">
        <f t="shared" si="11"/>
        <v>0</v>
      </c>
      <c r="K44" s="42">
        <f t="shared" si="13"/>
        <v>0</v>
      </c>
      <c r="L44" s="111" t="s">
        <v>107</v>
      </c>
      <c r="M44" s="111"/>
      <c r="N44" s="61"/>
      <c r="O44" s="62"/>
    </row>
    <row r="45" spans="1:18" s="38" customFormat="1" ht="16.5">
      <c r="A45" s="102"/>
      <c r="B45" s="102"/>
      <c r="C45" s="108" t="s">
        <v>108</v>
      </c>
      <c r="D45" s="109"/>
      <c r="E45" s="110"/>
      <c r="F45" s="43"/>
      <c r="G45" s="43"/>
      <c r="H45" s="42">
        <f t="shared" si="10"/>
        <v>0</v>
      </c>
      <c r="I45" s="58">
        <v>0.06</v>
      </c>
      <c r="J45" s="42">
        <f t="shared" si="11"/>
        <v>0</v>
      </c>
      <c r="K45" s="42">
        <f t="shared" si="12"/>
        <v>0</v>
      </c>
      <c r="L45" s="111" t="s">
        <v>109</v>
      </c>
      <c r="M45" s="111"/>
      <c r="N45" s="61"/>
      <c r="O45" s="62"/>
    </row>
    <row r="46" spans="1:18" s="38" customFormat="1" ht="16.5">
      <c r="A46" s="102"/>
      <c r="B46" s="102"/>
      <c r="C46" s="108" t="s">
        <v>110</v>
      </c>
      <c r="D46" s="109"/>
      <c r="E46" s="110"/>
      <c r="F46" s="43"/>
      <c r="G46" s="43"/>
      <c r="H46" s="42">
        <f t="shared" si="10"/>
        <v>0</v>
      </c>
      <c r="I46" s="63">
        <v>0.09</v>
      </c>
      <c r="J46" s="42">
        <f t="shared" ref="J46:J48" si="14">F46/(1+I46)*I46</f>
        <v>0</v>
      </c>
      <c r="K46" s="42">
        <f t="shared" ref="K46:K48" si="15">G46/(1+I46)*I46</f>
        <v>0</v>
      </c>
      <c r="L46" s="111" t="s">
        <v>111</v>
      </c>
      <c r="M46" s="111"/>
      <c r="N46" s="61"/>
      <c r="O46" s="62"/>
    </row>
    <row r="47" spans="1:18" s="38" customFormat="1" ht="16.5">
      <c r="A47" s="102"/>
      <c r="B47" s="102"/>
      <c r="C47" s="112" t="s">
        <v>112</v>
      </c>
      <c r="D47" s="113"/>
      <c r="E47" s="114"/>
      <c r="F47" s="43"/>
      <c r="G47" s="43"/>
      <c r="H47" s="42">
        <f t="shared" si="10"/>
        <v>0</v>
      </c>
      <c r="I47" s="63"/>
      <c r="J47" s="42">
        <f t="shared" si="14"/>
        <v>0</v>
      </c>
      <c r="K47" s="42">
        <f t="shared" si="15"/>
        <v>0</v>
      </c>
      <c r="L47" s="115" t="s">
        <v>113</v>
      </c>
      <c r="M47" s="116"/>
      <c r="N47" s="61"/>
      <c r="O47" s="62"/>
    </row>
    <row r="48" spans="1:18" s="38" customFormat="1" ht="43.5">
      <c r="A48" s="102"/>
      <c r="B48" s="102"/>
      <c r="C48" s="112" t="s">
        <v>114</v>
      </c>
      <c r="D48" s="113"/>
      <c r="E48" s="114"/>
      <c r="F48" s="43"/>
      <c r="G48" s="43"/>
      <c r="H48" s="42">
        <f t="shared" si="10"/>
        <v>0</v>
      </c>
      <c r="I48" s="63"/>
      <c r="J48" s="42">
        <f t="shared" si="14"/>
        <v>0</v>
      </c>
      <c r="K48" s="42">
        <f t="shared" si="15"/>
        <v>0</v>
      </c>
      <c r="L48" s="68" t="s">
        <v>115</v>
      </c>
      <c r="M48" s="69"/>
      <c r="N48" s="61"/>
      <c r="O48" s="62"/>
    </row>
    <row r="49" spans="1:23" s="38" customFormat="1" ht="27" customHeight="1">
      <c r="A49" s="102"/>
      <c r="B49" s="102" t="s">
        <v>116</v>
      </c>
      <c r="C49" s="102"/>
      <c r="D49" s="102"/>
      <c r="E49" s="102"/>
      <c r="F49" s="44">
        <f>F32+F38+F42+F47+F48</f>
        <v>0</v>
      </c>
      <c r="G49" s="44">
        <f>G32+G38+G42+G47+G48</f>
        <v>16.101900000000001</v>
      </c>
      <c r="H49" s="44">
        <f t="shared" si="10"/>
        <v>16.101900000000001</v>
      </c>
      <c r="I49" s="44"/>
      <c r="J49" s="44">
        <f>J32+J38+J42+J47+J48</f>
        <v>0</v>
      </c>
      <c r="K49" s="44">
        <f>K32+K38+K42+K47+K48</f>
        <v>1.1460976804569845</v>
      </c>
      <c r="L49" s="111"/>
      <c r="M49" s="111"/>
      <c r="N49" s="61"/>
      <c r="S49" s="66"/>
      <c r="T49" s="66"/>
      <c r="U49" s="66"/>
      <c r="V49" s="66"/>
      <c r="W49" s="66"/>
    </row>
    <row r="50" spans="1:23" ht="15" customHeight="1">
      <c r="A50" s="49"/>
      <c r="B50" s="49" t="s">
        <v>117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23" ht="1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</row>
    <row r="52" spans="1:23" ht="31.9" hidden="1" customHeight="1">
      <c r="A52" s="117" t="s">
        <v>118</v>
      </c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</row>
    <row r="53" spans="1:23" ht="14.5">
      <c r="A53" s="50" t="s">
        <v>119</v>
      </c>
      <c r="B53" s="51">
        <v>1</v>
      </c>
      <c r="C53" s="51">
        <v>2</v>
      </c>
      <c r="D53" s="51">
        <v>3</v>
      </c>
      <c r="E53" s="51">
        <v>4</v>
      </c>
      <c r="F53" s="51">
        <v>5</v>
      </c>
      <c r="G53" s="51">
        <v>6</v>
      </c>
      <c r="H53" s="51">
        <v>7</v>
      </c>
      <c r="I53" s="51">
        <v>8</v>
      </c>
      <c r="J53" s="51">
        <v>9</v>
      </c>
      <c r="K53" s="51">
        <v>10</v>
      </c>
      <c r="L53" s="51" t="s">
        <v>120</v>
      </c>
      <c r="M53" s="51" t="s">
        <v>121</v>
      </c>
    </row>
    <row r="54" spans="1:23" ht="14.5">
      <c r="A54" s="52" t="s">
        <v>122</v>
      </c>
      <c r="B54" s="53"/>
      <c r="C54" s="54"/>
      <c r="D54" s="54"/>
      <c r="E54" s="55"/>
      <c r="F54" s="55"/>
      <c r="G54" s="55"/>
      <c r="H54" s="55"/>
      <c r="I54" s="55"/>
      <c r="J54" s="55"/>
      <c r="K54" s="55"/>
      <c r="L54" s="70">
        <f>SUM(B54:K54)</f>
        <v>0</v>
      </c>
      <c r="M54" s="42" t="b">
        <f>L54=-G4</f>
        <v>1</v>
      </c>
      <c r="O54" s="71" t="s">
        <v>123</v>
      </c>
      <c r="P54" s="71" t="s">
        <v>124</v>
      </c>
      <c r="Q54" s="78" t="s">
        <v>125</v>
      </c>
      <c r="R54" s="71" t="s">
        <v>126</v>
      </c>
    </row>
    <row r="55" spans="1:23" ht="29">
      <c r="A55" s="56" t="s">
        <v>127</v>
      </c>
      <c r="B55" s="54">
        <f>I4</f>
        <v>16.7722513069067</v>
      </c>
      <c r="C55" s="54"/>
      <c r="D55" s="54"/>
      <c r="E55" s="54"/>
      <c r="F55" s="54"/>
      <c r="G55" s="55"/>
      <c r="H55" s="55"/>
      <c r="I55" s="55"/>
      <c r="J55" s="55"/>
      <c r="K55" s="55"/>
      <c r="L55" s="70">
        <f>SUM(B55:K55)</f>
        <v>16.7722513069067</v>
      </c>
      <c r="M55" s="42" t="b">
        <f>L55=I4</f>
        <v>1</v>
      </c>
      <c r="O55" s="107" t="s">
        <v>128</v>
      </c>
      <c r="P55" s="71" t="s">
        <v>129</v>
      </c>
      <c r="Q55" s="79" t="e">
        <f>L63</f>
        <v>#NUM!</v>
      </c>
      <c r="R55" s="71" t="s">
        <v>130</v>
      </c>
    </row>
    <row r="56" spans="1:23" ht="14.5">
      <c r="A56" s="52" t="s">
        <v>131</v>
      </c>
      <c r="B56" s="55">
        <f>-K4</f>
        <v>-14.955802319543016</v>
      </c>
      <c r="C56" s="55"/>
      <c r="D56" s="55"/>
      <c r="E56" s="55"/>
      <c r="F56" s="55"/>
      <c r="G56" s="55"/>
      <c r="H56" s="55"/>
      <c r="I56" s="55"/>
      <c r="J56" s="55"/>
      <c r="K56" s="55"/>
      <c r="L56" s="70">
        <f>SUM(B56:K56)</f>
        <v>-14.955802319543016</v>
      </c>
      <c r="M56" s="106" t="b">
        <f>(L56+L57)=-K4</f>
        <v>1</v>
      </c>
      <c r="O56" s="107"/>
      <c r="P56" s="72" t="s">
        <v>132</v>
      </c>
      <c r="Q56" s="80">
        <f>L61</f>
        <v>8.1225633672789149E-2</v>
      </c>
      <c r="R56" s="72" t="s">
        <v>133</v>
      </c>
    </row>
    <row r="57" spans="1:23" ht="14.5">
      <c r="A57" s="52" t="s">
        <v>134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70">
        <f>SUM(B57:K57)</f>
        <v>0</v>
      </c>
      <c r="M57" s="106"/>
      <c r="O57" s="107" t="s">
        <v>135</v>
      </c>
      <c r="P57" s="71" t="s">
        <v>136</v>
      </c>
      <c r="Q57" s="79">
        <f>L69</f>
        <v>8.8406508332930109E-2</v>
      </c>
      <c r="R57" s="71" t="s">
        <v>137</v>
      </c>
    </row>
    <row r="58" spans="1:23" ht="43.5">
      <c r="A58" s="52" t="s">
        <v>138</v>
      </c>
      <c r="B58" s="42">
        <f>-折旧和摊销计算表!E2</f>
        <v>0</v>
      </c>
      <c r="C58" s="42">
        <f>-折旧和摊销计算表!F2</f>
        <v>0</v>
      </c>
      <c r="D58" s="42">
        <f>-折旧和摊销计算表!G2</f>
        <v>0</v>
      </c>
      <c r="E58" s="42">
        <f>-折旧和摊销计算表!H2</f>
        <v>0</v>
      </c>
      <c r="F58" s="42">
        <f>-折旧和摊销计算表!I2</f>
        <v>0</v>
      </c>
      <c r="G58" s="42">
        <f>-折旧和摊销计算表!J2</f>
        <v>0</v>
      </c>
      <c r="H58" s="42">
        <f>-折旧和摊销计算表!K2</f>
        <v>0</v>
      </c>
      <c r="I58" s="42">
        <f>-折旧和摊销计算表!L2</f>
        <v>0</v>
      </c>
      <c r="J58" s="42">
        <f>-折旧和摊销计算表!M2</f>
        <v>0</v>
      </c>
      <c r="K58" s="42">
        <f>-折旧和摊销计算表!N2</f>
        <v>0</v>
      </c>
      <c r="L58" s="70">
        <f t="shared" ref="L58:L60" si="16">SUM(B58:K58)</f>
        <v>0</v>
      </c>
      <c r="M58" s="42"/>
      <c r="O58" s="107"/>
      <c r="P58" s="71" t="s">
        <v>139</v>
      </c>
      <c r="Q58" s="81">
        <f>L71</f>
        <v>0.91877436632721088</v>
      </c>
      <c r="R58" s="71" t="s">
        <v>140</v>
      </c>
    </row>
    <row r="59" spans="1:23" ht="14.5">
      <c r="A59" s="52" t="s">
        <v>141</v>
      </c>
      <c r="B59" s="42">
        <f t="shared" ref="B59:K59" si="17">B55+B56+B57+B58</f>
        <v>1.8164489873636835</v>
      </c>
      <c r="C59" s="42">
        <f t="shared" si="17"/>
        <v>0</v>
      </c>
      <c r="D59" s="42">
        <f t="shared" si="17"/>
        <v>0</v>
      </c>
      <c r="E59" s="42">
        <f t="shared" si="17"/>
        <v>0</v>
      </c>
      <c r="F59" s="42">
        <f t="shared" si="17"/>
        <v>0</v>
      </c>
      <c r="G59" s="42">
        <f t="shared" si="17"/>
        <v>0</v>
      </c>
      <c r="H59" s="42">
        <f t="shared" si="17"/>
        <v>0</v>
      </c>
      <c r="I59" s="42">
        <f t="shared" si="17"/>
        <v>0</v>
      </c>
      <c r="J59" s="42">
        <f t="shared" si="17"/>
        <v>0</v>
      </c>
      <c r="K59" s="42">
        <f t="shared" si="17"/>
        <v>0</v>
      </c>
      <c r="L59" s="70">
        <f t="shared" si="16"/>
        <v>1.8164489873636835</v>
      </c>
      <c r="M59" s="42"/>
    </row>
    <row r="60" spans="1:23" ht="14.5">
      <c r="A60" s="52" t="s">
        <v>142</v>
      </c>
      <c r="B60" s="42">
        <f>B59*(1-25%)</f>
        <v>1.3623367405227627</v>
      </c>
      <c r="C60" s="42">
        <f>C59*(1-25%)</f>
        <v>0</v>
      </c>
      <c r="D60" s="42">
        <f t="shared" ref="D60:K60" si="18">D59*(1-25%)</f>
        <v>0</v>
      </c>
      <c r="E60" s="42">
        <f t="shared" si="18"/>
        <v>0</v>
      </c>
      <c r="F60" s="42">
        <f t="shared" si="18"/>
        <v>0</v>
      </c>
      <c r="G60" s="42">
        <f t="shared" si="18"/>
        <v>0</v>
      </c>
      <c r="H60" s="42">
        <f t="shared" si="18"/>
        <v>0</v>
      </c>
      <c r="I60" s="42">
        <f t="shared" si="18"/>
        <v>0</v>
      </c>
      <c r="J60" s="42">
        <f t="shared" si="18"/>
        <v>0</v>
      </c>
      <c r="K60" s="42">
        <f t="shared" si="18"/>
        <v>0</v>
      </c>
      <c r="L60" s="70">
        <f t="shared" si="16"/>
        <v>1.3623367405227627</v>
      </c>
      <c r="M60" s="42"/>
    </row>
    <row r="61" spans="1:23" ht="14.5">
      <c r="A61" s="57" t="s">
        <v>132</v>
      </c>
      <c r="B61" s="58">
        <f t="shared" ref="B61:L61" si="19">B60/B55</f>
        <v>8.1225633672789149E-2</v>
      </c>
      <c r="C61" s="58" t="e">
        <f t="shared" si="19"/>
        <v>#DIV/0!</v>
      </c>
      <c r="D61" s="58" t="e">
        <f t="shared" si="19"/>
        <v>#DIV/0!</v>
      </c>
      <c r="E61" s="58" t="e">
        <f t="shared" si="19"/>
        <v>#DIV/0!</v>
      </c>
      <c r="F61" s="58" t="e">
        <f t="shared" si="19"/>
        <v>#DIV/0!</v>
      </c>
      <c r="G61" s="58" t="e">
        <f t="shared" si="19"/>
        <v>#DIV/0!</v>
      </c>
      <c r="H61" s="58" t="e">
        <f t="shared" si="19"/>
        <v>#DIV/0!</v>
      </c>
      <c r="I61" s="58" t="e">
        <f t="shared" si="19"/>
        <v>#DIV/0!</v>
      </c>
      <c r="J61" s="58" t="e">
        <f t="shared" si="19"/>
        <v>#DIV/0!</v>
      </c>
      <c r="K61" s="58" t="e">
        <f t="shared" si="19"/>
        <v>#DIV/0!</v>
      </c>
      <c r="L61" s="73">
        <f t="shared" si="19"/>
        <v>8.1225633672789149E-2</v>
      </c>
      <c r="M61" s="74"/>
    </row>
    <row r="62" spans="1:23" ht="14.5">
      <c r="A62" s="59" t="s">
        <v>143</v>
      </c>
      <c r="B62" s="42">
        <f>-B58</f>
        <v>0</v>
      </c>
      <c r="C62" s="42">
        <f t="shared" ref="C62:K62" si="20">-C58</f>
        <v>0</v>
      </c>
      <c r="D62" s="42">
        <f t="shared" si="20"/>
        <v>0</v>
      </c>
      <c r="E62" s="42">
        <f t="shared" si="20"/>
        <v>0</v>
      </c>
      <c r="F62" s="42">
        <f t="shared" si="20"/>
        <v>0</v>
      </c>
      <c r="G62" s="42">
        <f t="shared" si="20"/>
        <v>0</v>
      </c>
      <c r="H62" s="42">
        <f t="shared" si="20"/>
        <v>0</v>
      </c>
      <c r="I62" s="42">
        <f t="shared" si="20"/>
        <v>0</v>
      </c>
      <c r="J62" s="42">
        <f t="shared" si="20"/>
        <v>0</v>
      </c>
      <c r="K62" s="42">
        <f t="shared" si="20"/>
        <v>0</v>
      </c>
      <c r="L62" s="75"/>
      <c r="M62" s="76"/>
    </row>
    <row r="63" spans="1:23" ht="14.5">
      <c r="A63" s="60" t="s">
        <v>144</v>
      </c>
      <c r="B63" s="42">
        <f t="shared" ref="B63:K63" si="21">B60+B62+B54</f>
        <v>1.3623367405227627</v>
      </c>
      <c r="C63" s="42">
        <f t="shared" si="21"/>
        <v>0</v>
      </c>
      <c r="D63" s="42">
        <f t="shared" si="21"/>
        <v>0</v>
      </c>
      <c r="E63" s="42">
        <f t="shared" si="21"/>
        <v>0</v>
      </c>
      <c r="F63" s="42">
        <f t="shared" si="21"/>
        <v>0</v>
      </c>
      <c r="G63" s="42">
        <f t="shared" si="21"/>
        <v>0</v>
      </c>
      <c r="H63" s="42">
        <f t="shared" si="21"/>
        <v>0</v>
      </c>
      <c r="I63" s="42">
        <f t="shared" si="21"/>
        <v>0</v>
      </c>
      <c r="J63" s="42">
        <f t="shared" si="21"/>
        <v>0</v>
      </c>
      <c r="K63" s="42">
        <f t="shared" si="21"/>
        <v>0</v>
      </c>
      <c r="L63" s="73" t="e">
        <f>IRR(B63:K63,-30%)</f>
        <v>#NUM!</v>
      </c>
      <c r="M63" s="74"/>
      <c r="N63" s="77"/>
    </row>
    <row r="64" spans="1:23" ht="14.5">
      <c r="A64" s="52" t="s">
        <v>145</v>
      </c>
      <c r="B64" s="42">
        <f>B63</f>
        <v>1.3623367405227627</v>
      </c>
      <c r="C64" s="42">
        <f t="shared" ref="C64:K64" si="22">B64+C63</f>
        <v>1.3623367405227627</v>
      </c>
      <c r="D64" s="42">
        <f t="shared" si="22"/>
        <v>1.3623367405227627</v>
      </c>
      <c r="E64" s="42">
        <f t="shared" si="22"/>
        <v>1.3623367405227627</v>
      </c>
      <c r="F64" s="42">
        <f t="shared" si="22"/>
        <v>1.3623367405227627</v>
      </c>
      <c r="G64" s="42">
        <f t="shared" si="22"/>
        <v>1.3623367405227627</v>
      </c>
      <c r="H64" s="42">
        <f t="shared" si="22"/>
        <v>1.3623367405227627</v>
      </c>
      <c r="I64" s="42">
        <f t="shared" si="22"/>
        <v>1.3623367405227627</v>
      </c>
      <c r="J64" s="42">
        <f t="shared" si="22"/>
        <v>1.3623367405227627</v>
      </c>
      <c r="K64" s="42">
        <f t="shared" si="22"/>
        <v>1.3623367405227627</v>
      </c>
      <c r="L64" s="70"/>
      <c r="M64" s="42"/>
    </row>
    <row r="65" spans="1:13" ht="14.5">
      <c r="A65" s="52" t="s">
        <v>146</v>
      </c>
      <c r="B65" s="82">
        <f>1+$A$72</f>
        <v>1.04</v>
      </c>
      <c r="C65" s="82">
        <f t="shared" ref="C65:K65" si="23">B65*(1+$A$72)</f>
        <v>1.0816000000000001</v>
      </c>
      <c r="D65" s="82">
        <f t="shared" si="23"/>
        <v>1.1248640000000001</v>
      </c>
      <c r="E65" s="82">
        <f t="shared" si="23"/>
        <v>1.1698585600000002</v>
      </c>
      <c r="F65" s="82">
        <f t="shared" si="23"/>
        <v>1.2166529024000003</v>
      </c>
      <c r="G65" s="82">
        <f t="shared" si="23"/>
        <v>1.2653190184960004</v>
      </c>
      <c r="H65" s="82">
        <f t="shared" si="23"/>
        <v>1.3159317792358405</v>
      </c>
      <c r="I65" s="82">
        <f t="shared" si="23"/>
        <v>1.3685690504052741</v>
      </c>
      <c r="J65" s="82">
        <f t="shared" si="23"/>
        <v>1.4233118124214852</v>
      </c>
      <c r="K65" s="82">
        <f t="shared" si="23"/>
        <v>1.4802442849183446</v>
      </c>
      <c r="L65" s="70"/>
      <c r="M65" s="42"/>
    </row>
    <row r="66" spans="1:13" ht="14.5">
      <c r="A66" s="52" t="s">
        <v>147</v>
      </c>
      <c r="B66" s="42">
        <f t="shared" ref="B66:K66" si="24">B55/B65</f>
        <v>16.127164718179518</v>
      </c>
      <c r="C66" s="42">
        <f t="shared" si="24"/>
        <v>0</v>
      </c>
      <c r="D66" s="42">
        <f t="shared" si="24"/>
        <v>0</v>
      </c>
      <c r="E66" s="42">
        <f t="shared" si="24"/>
        <v>0</v>
      </c>
      <c r="F66" s="42">
        <f t="shared" si="24"/>
        <v>0</v>
      </c>
      <c r="G66" s="42">
        <f t="shared" si="24"/>
        <v>0</v>
      </c>
      <c r="H66" s="42">
        <f t="shared" si="24"/>
        <v>0</v>
      </c>
      <c r="I66" s="42">
        <f t="shared" si="24"/>
        <v>0</v>
      </c>
      <c r="J66" s="42">
        <f t="shared" si="24"/>
        <v>0</v>
      </c>
      <c r="K66" s="42">
        <f t="shared" si="24"/>
        <v>0</v>
      </c>
      <c r="L66" s="70"/>
      <c r="M66" s="42"/>
    </row>
    <row r="67" spans="1:13" ht="14.5">
      <c r="A67" s="52" t="s">
        <v>148</v>
      </c>
      <c r="B67" s="42">
        <f t="shared" ref="B67:K67" si="25">(B54+B56+B57-B59*0.25)/B65</f>
        <v>-14.817225544599939</v>
      </c>
      <c r="C67" s="42">
        <f t="shared" si="25"/>
        <v>0</v>
      </c>
      <c r="D67" s="42">
        <f t="shared" si="25"/>
        <v>0</v>
      </c>
      <c r="E67" s="42">
        <f t="shared" si="25"/>
        <v>0</v>
      </c>
      <c r="F67" s="42">
        <f t="shared" si="25"/>
        <v>0</v>
      </c>
      <c r="G67" s="42">
        <f t="shared" si="25"/>
        <v>0</v>
      </c>
      <c r="H67" s="42">
        <f t="shared" si="25"/>
        <v>0</v>
      </c>
      <c r="I67" s="42">
        <f t="shared" si="25"/>
        <v>0</v>
      </c>
      <c r="J67" s="42">
        <f t="shared" si="25"/>
        <v>0</v>
      </c>
      <c r="K67" s="42">
        <f t="shared" si="25"/>
        <v>0</v>
      </c>
      <c r="L67" s="86">
        <f>SUM(B67:K67)</f>
        <v>-14.817225544599939</v>
      </c>
      <c r="M67" s="87"/>
    </row>
    <row r="68" spans="1:13" ht="14.5">
      <c r="A68" s="52" t="s">
        <v>149</v>
      </c>
      <c r="B68" s="42">
        <f>B63/B65</f>
        <v>1.3099391735795793</v>
      </c>
      <c r="C68" s="42">
        <f t="shared" ref="C68:K68" si="26">C63/C65</f>
        <v>0</v>
      </c>
      <c r="D68" s="42">
        <f t="shared" si="26"/>
        <v>0</v>
      </c>
      <c r="E68" s="42">
        <f t="shared" si="26"/>
        <v>0</v>
      </c>
      <c r="F68" s="42">
        <f t="shared" si="26"/>
        <v>0</v>
      </c>
      <c r="G68" s="42">
        <f t="shared" si="26"/>
        <v>0</v>
      </c>
      <c r="H68" s="42">
        <f t="shared" si="26"/>
        <v>0</v>
      </c>
      <c r="I68" s="42">
        <f t="shared" si="26"/>
        <v>0</v>
      </c>
      <c r="J68" s="42">
        <f t="shared" si="26"/>
        <v>0</v>
      </c>
      <c r="K68" s="42">
        <f t="shared" si="26"/>
        <v>0</v>
      </c>
      <c r="L68" s="86">
        <f>SUM(B68:K68)</f>
        <v>1.3099391735795793</v>
      </c>
      <c r="M68" s="87"/>
    </row>
    <row r="69" spans="1:13" ht="14.5">
      <c r="A69" s="52" t="s">
        <v>150</v>
      </c>
      <c r="B69" s="42">
        <f>B68</f>
        <v>1.3099391735795793</v>
      </c>
      <c r="C69" s="42">
        <f t="shared" ref="C69:K69" si="27">B69+C68</f>
        <v>1.3099391735795793</v>
      </c>
      <c r="D69" s="42">
        <f t="shared" si="27"/>
        <v>1.3099391735795793</v>
      </c>
      <c r="E69" s="42">
        <f t="shared" si="27"/>
        <v>1.3099391735795793</v>
      </c>
      <c r="F69" s="42">
        <f t="shared" si="27"/>
        <v>1.3099391735795793</v>
      </c>
      <c r="G69" s="42">
        <f t="shared" si="27"/>
        <v>1.3099391735795793</v>
      </c>
      <c r="H69" s="42">
        <f t="shared" si="27"/>
        <v>1.3099391735795793</v>
      </c>
      <c r="I69" s="42">
        <f t="shared" si="27"/>
        <v>1.3099391735795793</v>
      </c>
      <c r="J69" s="42">
        <f t="shared" si="27"/>
        <v>1.3099391735795793</v>
      </c>
      <c r="K69" s="42">
        <f t="shared" si="27"/>
        <v>1.3099391735795793</v>
      </c>
      <c r="L69" s="73">
        <f>-L68/L67</f>
        <v>8.8406508332930109E-2</v>
      </c>
      <c r="M69" s="74"/>
    </row>
    <row r="70" spans="1:13" ht="14.5">
      <c r="A70" s="57" t="s">
        <v>151</v>
      </c>
      <c r="B70" s="42">
        <f>IF(B64&gt;=0,-(B54+B56+B57-B59*0.25)/B55,"")</f>
        <v>0.91877436632721088</v>
      </c>
      <c r="C70" s="42" t="str">
        <f t="shared" ref="C70:H70" si="28">IF(AND(B64&lt;0,C64&gt;0),B53-B64/C63,"")</f>
        <v/>
      </c>
      <c r="D70" s="42" t="str">
        <f t="shared" si="28"/>
        <v/>
      </c>
      <c r="E70" s="42" t="str">
        <f t="shared" si="28"/>
        <v/>
      </c>
      <c r="F70" s="42" t="str">
        <f t="shared" si="28"/>
        <v/>
      </c>
      <c r="G70" s="42" t="str">
        <f t="shared" si="28"/>
        <v/>
      </c>
      <c r="H70" s="42" t="str">
        <f t="shared" si="28"/>
        <v/>
      </c>
      <c r="I70" s="42"/>
      <c r="J70" s="42"/>
      <c r="K70" s="42"/>
      <c r="L70" s="88">
        <f>LOOKUP(10,B70:K70,B70:K70)</f>
        <v>0.91877436632721088</v>
      </c>
      <c r="M70" s="74"/>
    </row>
    <row r="71" spans="1:13" ht="14.5">
      <c r="A71" s="57" t="s">
        <v>152</v>
      </c>
      <c r="B71" s="42">
        <f>IF(B68&gt;=0,-B67/B66,"")</f>
        <v>0.91877436632721088</v>
      </c>
      <c r="C71" s="42" t="str">
        <f t="shared" ref="C71:K71" si="29">IF(AND(B69&lt;0,C69&gt;0),B53-B69/C68,"")</f>
        <v/>
      </c>
      <c r="D71" s="42" t="str">
        <f t="shared" si="29"/>
        <v/>
      </c>
      <c r="E71" s="42" t="str">
        <f t="shared" si="29"/>
        <v/>
      </c>
      <c r="F71" s="42" t="str">
        <f t="shared" si="29"/>
        <v/>
      </c>
      <c r="G71" s="42" t="str">
        <f t="shared" si="29"/>
        <v/>
      </c>
      <c r="H71" s="42" t="str">
        <f t="shared" si="29"/>
        <v/>
      </c>
      <c r="I71" s="42" t="str">
        <f t="shared" si="29"/>
        <v/>
      </c>
      <c r="J71" s="42" t="str">
        <f t="shared" si="29"/>
        <v/>
      </c>
      <c r="K71" s="42" t="str">
        <f t="shared" si="29"/>
        <v/>
      </c>
      <c r="L71" s="88">
        <f>LOOKUP(10,B71:K71,B71:K71)</f>
        <v>0.91877436632721088</v>
      </c>
      <c r="M71" s="74"/>
    </row>
    <row r="72" spans="1:13" ht="14.5">
      <c r="A72" s="83">
        <v>0.04</v>
      </c>
      <c r="B72" s="118"/>
      <c r="C72" s="118"/>
      <c r="D72" s="119"/>
      <c r="E72" s="119"/>
      <c r="F72" s="119"/>
      <c r="G72" s="119"/>
      <c r="H72" s="119"/>
      <c r="I72" s="119"/>
      <c r="J72" s="119"/>
      <c r="K72" s="89"/>
      <c r="L72" s="89"/>
      <c r="M72" s="89"/>
    </row>
    <row r="73" spans="1:13">
      <c r="D73" s="84"/>
    </row>
    <row r="75" spans="1:13" ht="92.15" customHeight="1">
      <c r="A75" s="85" t="s">
        <v>153</v>
      </c>
      <c r="B75" s="95" t="s">
        <v>154</v>
      </c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7"/>
    </row>
  </sheetData>
  <sheetProtection selectLockedCells="1" selectUnlockedCells="1"/>
  <mergeCells count="109">
    <mergeCell ref="A1:M1"/>
    <mergeCell ref="A2:M2"/>
    <mergeCell ref="B3:C3"/>
    <mergeCell ref="D3:E3"/>
    <mergeCell ref="G3:M3"/>
    <mergeCell ref="B4:C4"/>
    <mergeCell ref="D4:E4"/>
    <mergeCell ref="K4:M4"/>
    <mergeCell ref="A5:M5"/>
    <mergeCell ref="B6:E6"/>
    <mergeCell ref="L6:M6"/>
    <mergeCell ref="C7:E7"/>
    <mergeCell ref="L7:M7"/>
    <mergeCell ref="C8:E8"/>
    <mergeCell ref="L8:M8"/>
    <mergeCell ref="C9:E9"/>
    <mergeCell ref="L9:M9"/>
    <mergeCell ref="C10:E10"/>
    <mergeCell ref="L10:M10"/>
    <mergeCell ref="C11:E11"/>
    <mergeCell ref="L11:M11"/>
    <mergeCell ref="C12:E12"/>
    <mergeCell ref="L12:M12"/>
    <mergeCell ref="C13:E13"/>
    <mergeCell ref="L13:M13"/>
    <mergeCell ref="C14:E14"/>
    <mergeCell ref="L14:M14"/>
    <mergeCell ref="C15:E15"/>
    <mergeCell ref="L15:M15"/>
    <mergeCell ref="C16:E16"/>
    <mergeCell ref="L16:M16"/>
    <mergeCell ref="B17:E17"/>
    <mergeCell ref="L17:M17"/>
    <mergeCell ref="C18:E18"/>
    <mergeCell ref="L18:M18"/>
    <mergeCell ref="C19:E19"/>
    <mergeCell ref="L19:M19"/>
    <mergeCell ref="C20:E20"/>
    <mergeCell ref="L20:M20"/>
    <mergeCell ref="C21:E21"/>
    <mergeCell ref="L21:M21"/>
    <mergeCell ref="C22:E22"/>
    <mergeCell ref="L22:M22"/>
    <mergeCell ref="C23:E23"/>
    <mergeCell ref="L23:M23"/>
    <mergeCell ref="C24:E24"/>
    <mergeCell ref="L24:M24"/>
    <mergeCell ref="C25:E25"/>
    <mergeCell ref="L25:M25"/>
    <mergeCell ref="C26:E26"/>
    <mergeCell ref="L26:M26"/>
    <mergeCell ref="C27:E27"/>
    <mergeCell ref="L27:M27"/>
    <mergeCell ref="C28:E28"/>
    <mergeCell ref="L28:M28"/>
    <mergeCell ref="C29:E29"/>
    <mergeCell ref="L29:M29"/>
    <mergeCell ref="C30:E30"/>
    <mergeCell ref="L30:M30"/>
    <mergeCell ref="B31:E31"/>
    <mergeCell ref="L31:M31"/>
    <mergeCell ref="C32:E32"/>
    <mergeCell ref="L32:M32"/>
    <mergeCell ref="C33:E33"/>
    <mergeCell ref="L33:M33"/>
    <mergeCell ref="C34:E34"/>
    <mergeCell ref="L34:M34"/>
    <mergeCell ref="C35:E35"/>
    <mergeCell ref="L35:M35"/>
    <mergeCell ref="C43:E43"/>
    <mergeCell ref="L43:M43"/>
    <mergeCell ref="C44:E44"/>
    <mergeCell ref="L44:M44"/>
    <mergeCell ref="C45:E45"/>
    <mergeCell ref="L45:M45"/>
    <mergeCell ref="C36:E36"/>
    <mergeCell ref="L36:M36"/>
    <mergeCell ref="C37:E37"/>
    <mergeCell ref="L37:M37"/>
    <mergeCell ref="C38:E38"/>
    <mergeCell ref="L38:M38"/>
    <mergeCell ref="C39:E39"/>
    <mergeCell ref="L39:M39"/>
    <mergeCell ref="C40:E40"/>
    <mergeCell ref="L40:M40"/>
    <mergeCell ref="B75:M75"/>
    <mergeCell ref="A3:A4"/>
    <mergeCell ref="A7:A17"/>
    <mergeCell ref="A18:A49"/>
    <mergeCell ref="B7:B16"/>
    <mergeCell ref="B18:B30"/>
    <mergeCell ref="B32:B48"/>
    <mergeCell ref="M56:M57"/>
    <mergeCell ref="O55:O56"/>
    <mergeCell ref="O57:O58"/>
    <mergeCell ref="C46:E46"/>
    <mergeCell ref="L46:M46"/>
    <mergeCell ref="C47:E47"/>
    <mergeCell ref="L47:M47"/>
    <mergeCell ref="C48:E48"/>
    <mergeCell ref="B49:E49"/>
    <mergeCell ref="L49:M49"/>
    <mergeCell ref="A52:M52"/>
    <mergeCell ref="B72:C72"/>
    <mergeCell ref="D72:J72"/>
    <mergeCell ref="C41:E41"/>
    <mergeCell ref="L41:M41"/>
    <mergeCell ref="C42:E42"/>
    <mergeCell ref="L42:M42"/>
  </mergeCells>
  <phoneticPr fontId="32" type="noConversion"/>
  <dataValidations count="5">
    <dataValidation type="list" allowBlank="1" showInputMessage="1" showErrorMessage="1" sqref="N3 Q3" xr:uid="{00000000-0002-0000-0100-000000000000}">
      <formula1>"效益类,战略类"</formula1>
    </dataValidation>
    <dataValidation type="list" allowBlank="1" showInputMessage="1" showErrorMessage="1" sqref="S3 O4:O5" xr:uid="{00000000-0002-0000-0100-000001000000}">
      <formula1>"成本型,投资型,成本投资混合型"</formula1>
    </dataValidation>
    <dataValidation type="list" allowBlank="1" showInputMessage="1" showErrorMessage="1" sqref="V3" xr:uid="{00000000-0002-0000-0100-000002000000}">
      <formula1>"归属第三方,归属业主,归属移动"</formula1>
    </dataValidation>
    <dataValidation type="list" allowBlank="1" showInputMessage="1" showErrorMessage="1" sqref="I16 I30 I37 I22:I23 I46:I48" xr:uid="{00000000-0002-0000-0100-000003000000}">
      <formula1>"6%,9%,13%"</formula1>
    </dataValidation>
    <dataValidation type="list" allowBlank="1" showInputMessage="1" showErrorMessage="1" sqref="N4:N5" xr:uid="{00000000-0002-0000-0100-000004000000}">
      <formula1>"是,否"</formula1>
    </dataValidation>
  </dataValidations>
  <pageMargins left="0.70866141732283505" right="0.70866141732283505" top="0.33" bottom="0.28000000000000003" header="0.31496062992126" footer="0.31496062992126"/>
  <pageSetup paperSize="9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83"/>
  <sheetViews>
    <sheetView topLeftCell="A61" workbookViewId="0">
      <selection activeCell="E39" sqref="E39"/>
    </sheetView>
  </sheetViews>
  <sheetFormatPr defaultColWidth="9" defaultRowHeight="14"/>
  <cols>
    <col min="2" max="2" width="21.26953125" customWidth="1"/>
    <col min="3" max="3" width="4.08984375" customWidth="1"/>
    <col min="4" max="4" width="10.54296875" customWidth="1"/>
    <col min="5" max="5" width="7.6328125" customWidth="1"/>
    <col min="6" max="9" width="6.54296875" customWidth="1"/>
    <col min="10" max="14" width="6.36328125" customWidth="1"/>
    <col min="15" max="24" width="8" customWidth="1"/>
  </cols>
  <sheetData>
    <row r="1" spans="1:34" s="1" customFormat="1" ht="53.5" customHeight="1">
      <c r="A1" s="149" t="s">
        <v>155</v>
      </c>
      <c r="B1" s="150"/>
      <c r="C1" s="151"/>
      <c r="D1" s="2" t="s">
        <v>120</v>
      </c>
      <c r="E1" s="3" t="s">
        <v>156</v>
      </c>
      <c r="F1" s="3" t="s">
        <v>157</v>
      </c>
      <c r="G1" s="3" t="s">
        <v>158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163</v>
      </c>
      <c r="M1" s="3" t="s">
        <v>164</v>
      </c>
      <c r="N1" s="3" t="s">
        <v>165</v>
      </c>
      <c r="O1" s="3" t="s">
        <v>166</v>
      </c>
      <c r="P1" s="3" t="s">
        <v>167</v>
      </c>
      <c r="Q1" s="3" t="s">
        <v>168</v>
      </c>
      <c r="R1" s="3" t="s">
        <v>169</v>
      </c>
      <c r="S1" s="3" t="s">
        <v>170</v>
      </c>
      <c r="T1" s="3" t="s">
        <v>171</v>
      </c>
      <c r="U1" s="3" t="s">
        <v>172</v>
      </c>
      <c r="V1" s="3" t="s">
        <v>173</v>
      </c>
      <c r="W1" s="3" t="s">
        <v>174</v>
      </c>
      <c r="X1" s="27" t="s">
        <v>175</v>
      </c>
      <c r="Y1"/>
      <c r="Z1"/>
      <c r="AA1"/>
    </row>
    <row r="2" spans="1:34" s="1" customFormat="1" ht="16.5" customHeight="1">
      <c r="A2" s="146" t="s">
        <v>176</v>
      </c>
      <c r="B2" s="4" t="s">
        <v>177</v>
      </c>
      <c r="C2" s="5"/>
      <c r="D2" s="6">
        <f>SUM(E2:X2)</f>
        <v>0</v>
      </c>
      <c r="E2" s="7">
        <f t="shared" ref="E2:X2" si="0">E4+E20+E36+E52+E68</f>
        <v>0</v>
      </c>
      <c r="F2" s="7">
        <f t="shared" si="0"/>
        <v>0</v>
      </c>
      <c r="G2" s="7">
        <f t="shared" si="0"/>
        <v>0</v>
      </c>
      <c r="H2" s="7">
        <f t="shared" si="0"/>
        <v>0</v>
      </c>
      <c r="I2" s="7">
        <f t="shared" si="0"/>
        <v>0</v>
      </c>
      <c r="J2" s="7">
        <f t="shared" si="0"/>
        <v>0</v>
      </c>
      <c r="K2" s="7">
        <f t="shared" si="0"/>
        <v>0</v>
      </c>
      <c r="L2" s="7">
        <f t="shared" si="0"/>
        <v>0</v>
      </c>
      <c r="M2" s="7">
        <f t="shared" si="0"/>
        <v>0</v>
      </c>
      <c r="N2" s="7">
        <f t="shared" si="0"/>
        <v>0</v>
      </c>
      <c r="O2" s="7">
        <f t="shared" si="0"/>
        <v>0</v>
      </c>
      <c r="P2" s="7">
        <f t="shared" si="0"/>
        <v>0</v>
      </c>
      <c r="Q2" s="7">
        <f t="shared" si="0"/>
        <v>0</v>
      </c>
      <c r="R2" s="7">
        <f t="shared" si="0"/>
        <v>0</v>
      </c>
      <c r="S2" s="7">
        <f t="shared" si="0"/>
        <v>0</v>
      </c>
      <c r="T2" s="7">
        <f t="shared" si="0"/>
        <v>0</v>
      </c>
      <c r="U2" s="7">
        <f t="shared" si="0"/>
        <v>0</v>
      </c>
      <c r="V2" s="7">
        <f t="shared" si="0"/>
        <v>0</v>
      </c>
      <c r="W2" s="7">
        <f t="shared" si="0"/>
        <v>0</v>
      </c>
      <c r="X2" s="28">
        <f t="shared" si="0"/>
        <v>0</v>
      </c>
      <c r="Y2"/>
      <c r="Z2"/>
      <c r="AA2"/>
    </row>
    <row r="3" spans="1:34" s="1" customFormat="1" ht="16.5" customHeight="1">
      <c r="A3" s="147"/>
      <c r="B3"/>
      <c r="C3"/>
      <c r="D3" s="8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s="29"/>
      <c r="Y3"/>
      <c r="Z3"/>
      <c r="AA3"/>
    </row>
    <row r="4" spans="1:34" s="1" customFormat="1" ht="16.5" customHeight="1">
      <c r="A4" s="147"/>
      <c r="B4" s="9" t="s">
        <v>178</v>
      </c>
      <c r="C4" s="10"/>
      <c r="D4" s="11">
        <f>SUM(E4:X4)</f>
        <v>0</v>
      </c>
      <c r="E4" s="12">
        <f>SUM(E8:E18)</f>
        <v>0</v>
      </c>
      <c r="F4" s="12">
        <f t="shared" ref="F4:X4" si="1">SUM(F8:F18)</f>
        <v>0</v>
      </c>
      <c r="G4" s="12">
        <f t="shared" si="1"/>
        <v>0</v>
      </c>
      <c r="H4" s="12">
        <f t="shared" si="1"/>
        <v>0</v>
      </c>
      <c r="I4" s="12">
        <f t="shared" si="1"/>
        <v>0</v>
      </c>
      <c r="J4" s="12">
        <f t="shared" si="1"/>
        <v>0</v>
      </c>
      <c r="K4" s="12">
        <f t="shared" si="1"/>
        <v>0</v>
      </c>
      <c r="L4" s="12">
        <f t="shared" si="1"/>
        <v>0</v>
      </c>
      <c r="M4" s="12">
        <f t="shared" si="1"/>
        <v>0</v>
      </c>
      <c r="N4" s="12">
        <f t="shared" si="1"/>
        <v>0</v>
      </c>
      <c r="O4" s="12">
        <f t="shared" si="1"/>
        <v>0</v>
      </c>
      <c r="P4" s="12">
        <f t="shared" si="1"/>
        <v>0</v>
      </c>
      <c r="Q4" s="12">
        <f t="shared" si="1"/>
        <v>0</v>
      </c>
      <c r="R4" s="12">
        <f t="shared" si="1"/>
        <v>0</v>
      </c>
      <c r="S4" s="12">
        <f t="shared" si="1"/>
        <v>0</v>
      </c>
      <c r="T4" s="12">
        <f t="shared" si="1"/>
        <v>0</v>
      </c>
      <c r="U4" s="12">
        <f t="shared" si="1"/>
        <v>0</v>
      </c>
      <c r="V4" s="12">
        <f t="shared" si="1"/>
        <v>0</v>
      </c>
      <c r="W4" s="12">
        <f t="shared" si="1"/>
        <v>0</v>
      </c>
      <c r="X4" s="30">
        <f t="shared" si="1"/>
        <v>0</v>
      </c>
      <c r="Y4"/>
      <c r="Z4"/>
      <c r="AA4"/>
    </row>
    <row r="5" spans="1:34" s="1" customFormat="1" ht="16.5" customHeight="1">
      <c r="A5" s="147"/>
      <c r="B5" s="13" t="s">
        <v>179</v>
      </c>
      <c r="C5" s="14">
        <v>5</v>
      </c>
      <c r="D5" s="140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2"/>
      <c r="Y5"/>
      <c r="Z5"/>
      <c r="AA5"/>
    </row>
    <row r="6" spans="1:34" s="1" customFormat="1" ht="16.5" customHeight="1">
      <c r="A6" s="147"/>
      <c r="B6" s="13" t="s">
        <v>180</v>
      </c>
      <c r="C6" s="15"/>
      <c r="D6" s="16"/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26"/>
      <c r="Q6" s="26"/>
      <c r="R6" s="26"/>
      <c r="S6" s="26"/>
      <c r="T6" s="26"/>
      <c r="U6" s="26"/>
      <c r="V6" s="26"/>
      <c r="W6" s="26"/>
      <c r="X6" s="31"/>
      <c r="Y6"/>
      <c r="Z6"/>
      <c r="AA6"/>
    </row>
    <row r="7" spans="1:34" s="1" customFormat="1" ht="16.5" customHeight="1">
      <c r="A7" s="147"/>
      <c r="B7" s="18" t="s">
        <v>181</v>
      </c>
      <c r="C7" s="19"/>
      <c r="D7" s="20">
        <f>SUM(E7:O7)</f>
        <v>0</v>
      </c>
      <c r="E7" s="21"/>
      <c r="F7" s="17"/>
      <c r="G7" s="17"/>
      <c r="H7" s="17"/>
      <c r="I7" s="17"/>
      <c r="J7" s="17"/>
      <c r="K7" s="17"/>
      <c r="L7" s="17"/>
      <c r="M7" s="17"/>
      <c r="N7" s="17"/>
      <c r="O7" s="17"/>
      <c r="P7" s="26"/>
      <c r="Q7" s="26"/>
      <c r="R7" s="26"/>
      <c r="S7" s="26"/>
      <c r="T7" s="26"/>
      <c r="U7" s="26"/>
      <c r="V7" s="26"/>
      <c r="W7" s="26"/>
      <c r="X7" s="31"/>
      <c r="Y7" s="33"/>
      <c r="Z7"/>
      <c r="AA7"/>
    </row>
    <row r="8" spans="1:34" s="1" customFormat="1" ht="16.5" customHeight="1">
      <c r="A8" s="147"/>
      <c r="B8" s="22" t="s">
        <v>182</v>
      </c>
      <c r="C8" s="19"/>
      <c r="D8" s="20">
        <f t="shared" ref="D8:D18" si="2">SUM(E8:X8)</f>
        <v>0</v>
      </c>
      <c r="E8" s="23">
        <f>F8*(1-E6/12)</f>
        <v>0</v>
      </c>
      <c r="F8" s="23">
        <f>E7/C5</f>
        <v>0</v>
      </c>
      <c r="G8" s="23">
        <f>IF(SUM(E8:F8)&lt;E7,IF((E7-SUM(E8:F8))&lt;E7/C5,E7-SUM(E8:F8),E7/C5),0)</f>
        <v>0</v>
      </c>
      <c r="H8" s="23">
        <f>IF(SUM(E8:G8)&lt;E7,IF((E7-SUM(E8:G8))&lt;E7/C5,E7-SUM(E8:G8),E7/C5),0)</f>
        <v>0</v>
      </c>
      <c r="I8" s="23">
        <f>IF(SUM(E8:H8)&lt;E7,IF((E7-SUM(E8:H8))&lt;E7/C5,E7-SUM(E8:H8),E7/C5),0)</f>
        <v>0</v>
      </c>
      <c r="J8" s="23">
        <f>IF(SUM(E8:I8)&lt;E7,IF((E7-SUM(E8:I8))&lt;E7/C5,E7-SUM(E8:I8),E7/C5),0)</f>
        <v>0</v>
      </c>
      <c r="K8" s="23">
        <f>IF(SUM(E8:J8)&lt;E7,IF((E7-SUM(E8:J8))&lt;E7/C5,E7-SUM(E8:J8),E7/C5),0)</f>
        <v>0</v>
      </c>
      <c r="L8" s="23">
        <f>IF(SUM(E8:K8)&lt;E7,IF((E7-SUM(E8:K8))&lt;E7/C5,E7-SUM(E8:K8),E7/C5),0)</f>
        <v>0</v>
      </c>
      <c r="M8" s="23">
        <f>IF(SUM(E8:L8)&lt;E7,IF((E7-SUM(E8:L8))&lt;E7/C5,E7-SUM(E8:L8),E7/C5),0)</f>
        <v>0</v>
      </c>
      <c r="N8" s="23">
        <f>IF(SUM(E8:M8)&lt;E7,IF((E7-SUM(E8:M8))&lt;E7/C5,E7-SUM(E8:M8),E7/C5),0)</f>
        <v>0</v>
      </c>
      <c r="O8" s="23">
        <f>IF(SUM(E8:N8)&lt;E7,IF((E7-SUM(E8:N8))&lt;E7/C5,E7-SUM(E8:N8),E7/C5),0)</f>
        <v>0</v>
      </c>
      <c r="P8" s="23">
        <f>IF(SUM(E8:O8)&lt;E7,IF((E7-SUM(E8:O8))&lt;E7/C5,E7-SUM(E8:O8),E7/C5),0)</f>
        <v>0</v>
      </c>
      <c r="Q8" s="23">
        <f>IF(SUM(E8:P8)&lt;E7,IF((E7-SUM(E8:P8))&lt;E7/C5,E7-SUM(E8:P8),E7/C5),0)</f>
        <v>0</v>
      </c>
      <c r="R8" s="23">
        <f>IF(SUM(E8:Q8)&lt;E7,IF((E7-SUM(E8:Q8))&lt;E7/C5,E7-SUM(E8:Q8),E7/C5),0)</f>
        <v>0</v>
      </c>
      <c r="S8" s="23">
        <f>IF(SUM(E8:R8)&lt;E7,IF((E7-SUM(E8:R8))&lt;E7/C5,E7-SUM(E8:R8),E7/C5),0)</f>
        <v>0</v>
      </c>
      <c r="T8" s="23">
        <f>IF(SUM(E8:S8)&lt;E7,IF((E7-SUM(E8:S8))&lt;E7/C5,E7-SUM(E8:S8),E7/C5),0)</f>
        <v>0</v>
      </c>
      <c r="U8" s="23">
        <f>IF(SUM(E8:T8)&lt;E7,IF((E7-SUM(E8:T8))&lt;E7/C5,E7-SUM(E8:T8),E7/C5),0)</f>
        <v>0</v>
      </c>
      <c r="V8" s="23">
        <f>IF(SUM(E8:U8)&lt;E7,IF((E7-SUM(E8:U8))&lt;E7/C5,E7-SUM(E8:U8),E7/C5),0)</f>
        <v>0</v>
      </c>
      <c r="W8" s="23">
        <f>IF(SUM(E8:V8)&lt;E7,IF((E7-SUM(E8:V8))&lt;E7/C5,E7-SUM(E8:V8),E7/C5),0)</f>
        <v>0</v>
      </c>
      <c r="X8" s="32">
        <f>IF(SUM(E8:W8)&lt;E7,IF((E7-SUM(E8:W8))&lt;E7/C5,E7-SUM(E8:W8),E7/C5),0)</f>
        <v>0</v>
      </c>
      <c r="Y8"/>
      <c r="Z8"/>
      <c r="AA8"/>
    </row>
    <row r="9" spans="1:34" s="1" customFormat="1" ht="16.5" customHeight="1">
      <c r="A9" s="147"/>
      <c r="B9" s="22" t="s">
        <v>183</v>
      </c>
      <c r="C9" s="19"/>
      <c r="D9" s="20">
        <f t="shared" si="2"/>
        <v>0</v>
      </c>
      <c r="E9" s="23"/>
      <c r="F9" s="23">
        <f>G9*(1-F6/12)</f>
        <v>0</v>
      </c>
      <c r="G9" s="23">
        <f>F7/C5</f>
        <v>0</v>
      </c>
      <c r="H9" s="23">
        <f>IF(SUM(E9:G9)&lt;F7,IF((F7-SUM(E9:G9))&lt;F7/C5,F7-SUM(E9:G9),F7/C5),0)</f>
        <v>0</v>
      </c>
      <c r="I9" s="23">
        <f>IF(SUM(E9:H9)&lt;F7,IF((F7-SUM(E9:H9))&lt;F7/C5,F7-SUM(E9:H9),F7/C5),0)</f>
        <v>0</v>
      </c>
      <c r="J9" s="23">
        <f>IF(SUM(E9:I9)&lt;F7,IF((F7-SUM(E9:I9))&lt;F7/C5,F7-SUM(E9:I9),F7/C5),0)</f>
        <v>0</v>
      </c>
      <c r="K9" s="23">
        <f>IF(SUM(E9:J9)&lt;F7,IF((F7-SUM(E9:J9))&lt;F7/C5,F7-SUM(E9:J9),F7/C5),0)</f>
        <v>0</v>
      </c>
      <c r="L9" s="23">
        <f>IF(SUM(E9:K9)&lt;F7,IF((F7-SUM(E9:K9))&lt;F7/C5,F7-SUM(E9:K9),F7/C5),0)</f>
        <v>0</v>
      </c>
      <c r="M9" s="23">
        <f>IF(SUM(E9:L9)&lt;F7,IF((F7-SUM(E9:L9))&lt;F7/C5,F7-SUM(E9:L9),F7/C5),0)</f>
        <v>0</v>
      </c>
      <c r="N9" s="23">
        <f>IF(SUM(E9:M9)&lt;F7,IF((F7-SUM(E9:M9))&lt;F7/C5,F7-SUM(E9:M9),F7/C5),0)</f>
        <v>0</v>
      </c>
      <c r="O9" s="23">
        <f>IF(SUM(E9:N9)&lt;F7,IF((F7-SUM(E9:N9))&lt;F7/C5,F7-SUM(E9:N9),F7/C5),0)</f>
        <v>0</v>
      </c>
      <c r="P9" s="23">
        <f>IF(SUM(E9:O9)&lt;F7,IF((F7-SUM(E9:O9))&lt;F7/C5,F7-SUM(E9:O9),F7/C5),0)</f>
        <v>0</v>
      </c>
      <c r="Q9" s="23">
        <f>IF(SUM(E9:P9)&lt;F7,IF((F7-SUM(E9:P9))&lt;F7/C5,F7-SUM(E9:P9),F7/C5),0)</f>
        <v>0</v>
      </c>
      <c r="R9" s="23">
        <f>IF(SUM(E9:Q9)&lt;F7,IF((F7-SUM(E9:Q9))&lt;F7/C5,F7-SUM(E9:Q9),F7/C5),0)</f>
        <v>0</v>
      </c>
      <c r="S9" s="23">
        <f>IF(SUM(E9:R9)&lt;F7,IF((F7-SUM(E9:R9))&lt;F7/C5,F7-SUM(E9:R9),F7/C5),0)</f>
        <v>0</v>
      </c>
      <c r="T9" s="23">
        <f>IF(SUM(E9:S9)&lt;F7,IF((F7-SUM(E9:S9))&lt;F7/C5,F7-SUM(E9:S9),F7/C5),0)</f>
        <v>0</v>
      </c>
      <c r="U9" s="23">
        <f>IF(SUM(E9:T9)&lt;F7,IF((F7-SUM(E9:T9))&lt;F7/C5,F7-SUM(E9:T9),F7/C5),0)</f>
        <v>0</v>
      </c>
      <c r="V9" s="23">
        <f>IF(SUM(E9:U9)&lt;F7,IF((F7-SUM(E9:U9))&lt;F7/C5,F7-SUM(E9:U9),F7/C5),0)</f>
        <v>0</v>
      </c>
      <c r="W9" s="23">
        <f>IF(SUM(E9:V9)&lt;F7,IF((F7-SUM(E9:V9))&lt;F7/C5,F7-SUM(E9:V9),F7/C5),0)</f>
        <v>0</v>
      </c>
      <c r="X9" s="32">
        <f>IF(SUM(E9:W9)&lt;F7,IF((F7-SUM(E9:W9))&lt;F7/C5,F7-SUM(E9:W9),F7/C5),0)</f>
        <v>0</v>
      </c>
      <c r="Y9"/>
      <c r="Z9"/>
      <c r="AA9"/>
      <c r="AB9"/>
      <c r="AC9"/>
      <c r="AD9"/>
      <c r="AE9"/>
      <c r="AF9"/>
      <c r="AG9"/>
      <c r="AH9"/>
    </row>
    <row r="10" spans="1:34" s="1" customFormat="1" ht="16.5" customHeight="1">
      <c r="A10" s="147"/>
      <c r="B10" s="22" t="s">
        <v>184</v>
      </c>
      <c r="C10" s="19"/>
      <c r="D10" s="20">
        <f t="shared" si="2"/>
        <v>0</v>
      </c>
      <c r="E10" s="23"/>
      <c r="F10" s="23"/>
      <c r="G10" s="23">
        <f>H10*(1-G6/12)</f>
        <v>0</v>
      </c>
      <c r="H10" s="23">
        <f>G7/C5</f>
        <v>0</v>
      </c>
      <c r="I10" s="23">
        <f>IF(SUM(E10:H10)&lt;G7,IF((G7-SUM(E10:H10))&lt;G7/C5,G7-SUM(E10:H10),G7/C5),0)</f>
        <v>0</v>
      </c>
      <c r="J10" s="23">
        <f>IF(SUM(E10:I10)&lt;G7,IF((G7-SUM(E10:I10))&lt;G7/C5,G7-SUM(E10:I10),G7/C5),0)</f>
        <v>0</v>
      </c>
      <c r="K10" s="23">
        <f>IF(SUM(E10:J10)&lt;G7,IF((G7-SUM(E10:J10))&lt;G7/C5,G7-SUM(E10:J10),G7/C5),0)</f>
        <v>0</v>
      </c>
      <c r="L10" s="23">
        <f>IF(SUM(E10:K10)&lt;G7,IF((G7-SUM(E10:K10))&lt;G7/C5,G7-SUM(E10:K10),G7/C5),0)</f>
        <v>0</v>
      </c>
      <c r="M10" s="23">
        <f>IF(SUM(E10:L10)&lt;G7,IF((G7-SUM(E10:L10))&lt;G7/C5,G7-SUM(E10:L10),G7/C5),0)</f>
        <v>0</v>
      </c>
      <c r="N10" s="23">
        <f>IF(SUM(E10:M10)&lt;G7,IF((G7-SUM(E10:M10))&lt;G7/C5,G7-SUM(E10:M10),G7/C5),0)</f>
        <v>0</v>
      </c>
      <c r="O10" s="23">
        <f>IF(SUM(E10:N10)&lt;G7,IF((G7-SUM(E10:N10))&lt;G7/C5,G7-SUM(E10:N10),G7/C5),0)</f>
        <v>0</v>
      </c>
      <c r="P10" s="23">
        <f>IF(SUM(E10:O10)&lt;G7,IF((G7-SUM(E10:O10))&lt;G7/C5,G7-SUM(E10:O10),G7/C5),0)</f>
        <v>0</v>
      </c>
      <c r="Q10" s="23">
        <f>IF(SUM(E10:P10)&lt;G7,IF((G7-SUM(E10:P10))&lt;G7/C5,G7-SUM(E10:P10),G7/C5),0)</f>
        <v>0</v>
      </c>
      <c r="R10" s="23">
        <f>IF(SUM(E10:Q10)&lt;G7,IF((G7-SUM(E10:Q10))&lt;G7/C5,G7-SUM(E10:Q10),G7/C5),0)</f>
        <v>0</v>
      </c>
      <c r="S10" s="23">
        <f>IF(SUM(E10:R10)&lt;G7,IF((G7-SUM(E10:R10))&lt;G7/C5,G7-SUM(E10:R10),G7/C5),0)</f>
        <v>0</v>
      </c>
      <c r="T10" s="23">
        <f>IF(SUM(E10:S10)&lt;G7,IF((G7-SUM(E10:S10))&lt;G7/C5,G7-SUM(E10:S10),G7/C5),0)</f>
        <v>0</v>
      </c>
      <c r="U10" s="23">
        <f>IF(SUM(E10:T10)&lt;G7,IF((G7-SUM(E10:T10))&lt;G7/C5,G7-SUM(E10:T10),G7/C5),0)</f>
        <v>0</v>
      </c>
      <c r="V10" s="23">
        <f>IF(SUM(E10:U10)&lt;G7,IF((G7-SUM(E10:U10))&lt;G7/C5,G7-SUM(E10:U10),G7/C5),0)</f>
        <v>0</v>
      </c>
      <c r="W10" s="23">
        <f>IF(SUM(E10:V10)&lt;G7,IF((G7-SUM(E10:V10))&lt;G7/C5,G7-SUM(E10:V10),G7/C5),0)</f>
        <v>0</v>
      </c>
      <c r="X10" s="32">
        <f>IF(SUM(E10:W10)&lt;G7,IF((G7-SUM(E10:W10))&lt;G7/C5,G7-SUM(E10:W10),G7/C5),0)</f>
        <v>0</v>
      </c>
      <c r="Y10"/>
      <c r="Z10"/>
      <c r="AA10"/>
      <c r="AB10"/>
      <c r="AC10"/>
      <c r="AD10"/>
      <c r="AE10"/>
      <c r="AF10"/>
      <c r="AG10"/>
      <c r="AH10"/>
    </row>
    <row r="11" spans="1:34" s="1" customFormat="1" ht="16.5" customHeight="1">
      <c r="A11" s="147"/>
      <c r="B11" s="22" t="s">
        <v>185</v>
      </c>
      <c r="C11" s="19"/>
      <c r="D11" s="20">
        <f t="shared" si="2"/>
        <v>0</v>
      </c>
      <c r="E11" s="23"/>
      <c r="F11" s="23"/>
      <c r="G11" s="23"/>
      <c r="H11" s="23">
        <f>I11*(1-H6/12)</f>
        <v>0</v>
      </c>
      <c r="I11" s="23">
        <f>H7/C5</f>
        <v>0</v>
      </c>
      <c r="J11" s="23">
        <f>IF(SUM(E11:I11)&lt;H7,IF((H7-SUM(E11:I11))&lt;H7/C5,H7-SUM(E11:I11),H7/C5),0)</f>
        <v>0</v>
      </c>
      <c r="K11" s="23">
        <f>IF(SUM(E11:J11)&lt;H7,IF((H7-SUM(E11:J11))&lt;H7/C5,H7-SUM(E11:J11),H7/C5),0)</f>
        <v>0</v>
      </c>
      <c r="L11" s="23">
        <f>IF(SUM(E11:K11)&lt;H7,IF((H7-SUM(E11:K11))&lt;H7/C5,H7-SUM(E11:K11),H7/C5),0)</f>
        <v>0</v>
      </c>
      <c r="M11" s="23">
        <f>IF(SUM(E11:L11)&lt;H7,IF((H7-SUM(E11:L11))&lt;H7/C5,H7-SUM(E11:L11),H7/C5),0)</f>
        <v>0</v>
      </c>
      <c r="N11" s="23">
        <f>IF(SUM(E11:M11)&lt;H7,IF((H7-SUM(E11:M11))&lt;H7/C5,H7-SUM(E11:M11),H7/C5),0)</f>
        <v>0</v>
      </c>
      <c r="O11" s="23">
        <f>IF(SUM(E11:N11)&lt;H7,IF((H7-SUM(E11:N11))&lt;H7/C5,H7-SUM(E11:N11),H7/C5),0)</f>
        <v>0</v>
      </c>
      <c r="P11" s="23">
        <f>IF(SUM(E11:O11)&lt;H7,IF((H7-SUM(E11:O11))&lt;H7/C5,H7-SUM(E11:O11),H7/C5),0)</f>
        <v>0</v>
      </c>
      <c r="Q11" s="23">
        <f>IF(SUM(E11:P11)&lt;H7,IF((H7-SUM(E11:P11))&lt;H7/C5,H7-SUM(E11:P11),H7/C5),0)</f>
        <v>0</v>
      </c>
      <c r="R11" s="23">
        <f>IF(SUM(E11:Q11)&lt;H7,IF((H7-SUM(E11:Q11))&lt;H7/C5,H7-SUM(E11:Q11),H7/C5),0)</f>
        <v>0</v>
      </c>
      <c r="S11" s="23">
        <f>IF(SUM(E11:R11)&lt;H7,IF((H7-SUM(E11:R11))&lt;H7/C5,H7-SUM(E11:R11),H7/C5),0)</f>
        <v>0</v>
      </c>
      <c r="T11" s="23">
        <f>IF(SUM(E11:S11)&lt;H7,IF((H7-SUM(E11:S11))&lt;H7/C5,H7-SUM(E11:S11),H7/C5),0)</f>
        <v>0</v>
      </c>
      <c r="U11" s="23">
        <f>IF(SUM(E11:T11)&lt;H7,IF((H7-SUM(E11:T11))&lt;H7/C5,H7-SUM(E11:T11),H7/C5),0)</f>
        <v>0</v>
      </c>
      <c r="V11" s="23">
        <f>IF(SUM(E11:U11)&lt;H7,IF((H7-SUM(E11:U11))&lt;H7/C5,H7-SUM(E11:U11),H7/C5),0)</f>
        <v>0</v>
      </c>
      <c r="W11" s="23">
        <f>IF(SUM(E11:V11)&lt;H7,IF((H7-SUM(E11:V11))&lt;H7/C5,H7-SUM(E11:V11),H7/C5),0)</f>
        <v>0</v>
      </c>
      <c r="X11" s="32">
        <f>IF(SUM(E11:W11)&lt;H7,IF((H7-SUM(E11:W11))&lt;H7/C5,H7-SUM(E11:W11),H7/C5),0)</f>
        <v>0</v>
      </c>
      <c r="Y11"/>
      <c r="Z11"/>
      <c r="AA11"/>
      <c r="AB11"/>
      <c r="AC11"/>
      <c r="AD11"/>
      <c r="AE11"/>
      <c r="AF11"/>
      <c r="AG11"/>
      <c r="AH11"/>
    </row>
    <row r="12" spans="1:34" s="1" customFormat="1" ht="16.5" customHeight="1">
      <c r="A12" s="147"/>
      <c r="B12" s="22" t="s">
        <v>186</v>
      </c>
      <c r="C12" s="19"/>
      <c r="D12" s="20">
        <f t="shared" si="2"/>
        <v>0</v>
      </c>
      <c r="E12" s="23"/>
      <c r="F12" s="23"/>
      <c r="G12" s="23"/>
      <c r="H12" s="23"/>
      <c r="I12" s="23">
        <f>J12*(1-I6/12)</f>
        <v>0</v>
      </c>
      <c r="J12" s="23">
        <f>I7/C5</f>
        <v>0</v>
      </c>
      <c r="K12" s="23">
        <f>IF(SUM(E12:J12)&lt;I7,IF((I7-SUM(E12:J12))&lt;I7/C5,I7-SUM(E12:J12),I7/C5),0)</f>
        <v>0</v>
      </c>
      <c r="L12" s="23">
        <f>IF(SUM(E12:K12)&lt;I7,IF((I7-SUM(E12:K12))&lt;I7/C5,I7-SUM(E12:K12),I7/C5),0)</f>
        <v>0</v>
      </c>
      <c r="M12" s="23">
        <f>IF(SUM(E12:L12)&lt;I7,IF((I7-SUM(E12:L12))&lt;I7/C5,I7-SUM(E12:L12),I7/C5),0)</f>
        <v>0</v>
      </c>
      <c r="N12" s="23">
        <f>IF(SUM(E12:M12)&lt;I7,IF((I7-SUM(E12:M12))&lt;I7/C5,I7-SUM(E12:M12),I7/C5),0)</f>
        <v>0</v>
      </c>
      <c r="O12" s="23">
        <f>IF(SUM(E12:N12)&lt;I7,IF((I7-SUM(E12:N12))&lt;I7/C5,I7-SUM(E12:N12),I7/C5),0)</f>
        <v>0</v>
      </c>
      <c r="P12" s="23">
        <f>IF(SUM(E12:O12)&lt;I7,IF((I7-SUM(E12:O12))&lt;I7/C5,I7-SUM(E12:O12),I7/C5),0)</f>
        <v>0</v>
      </c>
      <c r="Q12" s="23">
        <f>IF(SUM(E12:P12)&lt;I7,IF((I7-SUM(E12:P12))&lt;I7/C5,I7-SUM(E12:P12),I7/C5),0)</f>
        <v>0</v>
      </c>
      <c r="R12" s="23">
        <f>IF(SUM(E12:Q12)&lt;I7,IF((I7-SUM(E12:Q12))&lt;I7/C5,I7-SUM(E12:Q12),I7/C5),0)</f>
        <v>0</v>
      </c>
      <c r="S12" s="23">
        <f>IF(SUM(E12:R12)&lt;I7,IF((I7-SUM(E12:R12))&lt;I7/C5,I7-SUM(E12:R12),I7/C5),0)</f>
        <v>0</v>
      </c>
      <c r="T12" s="23">
        <f>IF(SUM(E12:S12)&lt;I7,IF((I7-SUM(E12:S12))&lt;I7/C5,I7-SUM(E12:S12),I7/C5),0)</f>
        <v>0</v>
      </c>
      <c r="U12" s="23">
        <f>IF(SUM(E12:T12)&lt;I7,IF((I7-SUM(E12:T12))&lt;I7/C5,I7-SUM(E12:T12),I7/C5),0)</f>
        <v>0</v>
      </c>
      <c r="V12" s="23">
        <f>IF(SUM(E12:U12)&lt;I7,IF((I7-SUM(E12:U12))&lt;I7/C5,I7-SUM(E12:U12),I7/C5),0)</f>
        <v>0</v>
      </c>
      <c r="W12" s="23">
        <f>IF(SUM(E12:V12)&lt;I7,IF((I7-SUM(E12:V12))&lt;I7/C5,I7-SUM(E12:V12),I7/C5),0)</f>
        <v>0</v>
      </c>
      <c r="X12" s="32">
        <f>IF(SUM(E12:W12)&lt;I7,IF((I7-SUM(E12:W12))&lt;I7/C5,I7-SUM(E12:W12),I7/C5),0)</f>
        <v>0</v>
      </c>
      <c r="Y12"/>
      <c r="Z12"/>
      <c r="AA12"/>
      <c r="AB12"/>
      <c r="AC12"/>
      <c r="AD12"/>
      <c r="AE12"/>
      <c r="AF12"/>
      <c r="AG12"/>
      <c r="AH12"/>
    </row>
    <row r="13" spans="1:34" s="1" customFormat="1" ht="16.5" customHeight="1">
      <c r="A13" s="147"/>
      <c r="B13" s="22" t="s">
        <v>187</v>
      </c>
      <c r="C13" s="19"/>
      <c r="D13" s="20">
        <f t="shared" si="2"/>
        <v>0</v>
      </c>
      <c r="E13" s="23"/>
      <c r="F13" s="23"/>
      <c r="G13" s="23"/>
      <c r="H13" s="23"/>
      <c r="I13" s="23"/>
      <c r="J13" s="23">
        <f>K13*(1-J6/12)</f>
        <v>0</v>
      </c>
      <c r="K13" s="23">
        <f>J7/C5</f>
        <v>0</v>
      </c>
      <c r="L13" s="23">
        <f>IF(SUM(E13:K13)&lt;J7,IF((J7-SUM(E13:K13))&lt;J7/C5,J7-SUM(E13:K13),J7/C5),0)</f>
        <v>0</v>
      </c>
      <c r="M13" s="23">
        <f>IF(SUM(E13:L13)&lt;J7,IF((J7-SUM(E13:L13))&lt;J7/C5,J7-SUM(E13:L13),J7/C5),0)</f>
        <v>0</v>
      </c>
      <c r="N13" s="23">
        <f>IF(SUM(E13:M13)&lt;J7,IF((J7-SUM(E13:M13))&lt;J7/C5,J7-SUM(E13:M13),J7/C5),0)</f>
        <v>0</v>
      </c>
      <c r="O13" s="23">
        <f>IF(SUM(E13:N13)&lt;J7,IF((J7-SUM(E13:N13))&lt;J7/C5,J7-SUM(E13:N13),J7/C5),0)</f>
        <v>0</v>
      </c>
      <c r="P13" s="23">
        <f>IF(SUM(E13:O13)&lt;J7,IF((J7-SUM(E13:O13))&lt;J7/C5,J7-SUM(E13:O13),J7/C5),0)</f>
        <v>0</v>
      </c>
      <c r="Q13" s="23">
        <f>IF(SUM(E13:P13)&lt;J7,IF((J7-SUM(E13:P13))&lt;J7/C5,J7-SUM(E13:P13),J7/C5),0)</f>
        <v>0</v>
      </c>
      <c r="R13" s="23">
        <f>IF(SUM(E13:Q13)&lt;J7,IF((J7-SUM(E13:Q13))&lt;J7/C5,J7-SUM(E13:Q13),J7/C5),0)</f>
        <v>0</v>
      </c>
      <c r="S13" s="23">
        <f>IF(SUM(E13:R13)&lt;J7,IF((J7-SUM(E13:R13))&lt;J7/C5,J7-SUM(E13:R13),J7/C5),0)</f>
        <v>0</v>
      </c>
      <c r="T13" s="23">
        <f>IF(SUM(E13:S13)&lt;J7,IF((J7-SUM(E13:S13))&lt;J7/C5,J7-SUM(E13:S13),J7/C5),0)</f>
        <v>0</v>
      </c>
      <c r="U13" s="23">
        <f>IF(SUM(E13:T13)&lt;J7,IF((J7-SUM(E13:T13))&lt;J7/C5,J7-SUM(E13:T13),J7/C5),0)</f>
        <v>0</v>
      </c>
      <c r="V13" s="23">
        <f>IF(SUM(E13:U13)&lt;J7,IF((J7-SUM(E13:U13))&lt;J7/C5,J7-SUM(E13:U13),J7/C5),0)</f>
        <v>0</v>
      </c>
      <c r="W13" s="23">
        <f>IF(SUM(E13:V13)&lt;J7,IF((J7-SUM(E13:V13))&lt;J7/C5,J7-SUM(E13:V13),J7/C5),0)</f>
        <v>0</v>
      </c>
      <c r="X13" s="32">
        <f>IF(SUM(E13:W13)&lt;J7,IF((J7-SUM(E13:W13))&lt;J7/C5,J7-SUM(E13:W13),J7/C5),0)</f>
        <v>0</v>
      </c>
      <c r="Y13"/>
      <c r="Z13"/>
      <c r="AA13"/>
      <c r="AB13"/>
      <c r="AC13"/>
      <c r="AD13"/>
      <c r="AE13"/>
      <c r="AF13"/>
      <c r="AG13"/>
      <c r="AH13"/>
    </row>
    <row r="14" spans="1:34" s="1" customFormat="1" ht="16.5" customHeight="1">
      <c r="A14" s="147"/>
      <c r="B14" s="22" t="s">
        <v>188</v>
      </c>
      <c r="C14" s="19"/>
      <c r="D14" s="20">
        <f t="shared" si="2"/>
        <v>0</v>
      </c>
      <c r="E14" s="23"/>
      <c r="F14" s="23"/>
      <c r="G14" s="23"/>
      <c r="H14" s="23"/>
      <c r="I14" s="23"/>
      <c r="J14" s="23"/>
      <c r="K14" s="23">
        <f>L14*(1-K6/12)</f>
        <v>0</v>
      </c>
      <c r="L14" s="23">
        <f>K7/C5</f>
        <v>0</v>
      </c>
      <c r="M14" s="23">
        <f>IF(SUM(E14:L14)&lt;K7,IF((K7-SUM(E14:L14))&lt;K7/C5,K7-SUM(E14:L14),K7/C5),0)</f>
        <v>0</v>
      </c>
      <c r="N14" s="23">
        <f>IF(SUM(E14:M14)&lt;K7,IF((K7-SUM(E14:M14))&lt;K7/C5,K7-SUM(E14:M14),K7/C5),0)</f>
        <v>0</v>
      </c>
      <c r="O14" s="23">
        <f>IF(SUM(E14:N14)&lt;K7,IF((K7-SUM(E14:N14))&lt;K7/C5,K7-SUM(E14:N14),K7/C5),0)</f>
        <v>0</v>
      </c>
      <c r="P14" s="23">
        <f>IF(SUM(E14:O14)&lt;K7,IF((K7-SUM(E14:O14))&lt;K7/C5,K7-SUM(E14:O14),K7/C5),0)</f>
        <v>0</v>
      </c>
      <c r="Q14" s="23">
        <f>IF(SUM(E14:P14)&lt;K7,IF((K7-SUM(E14:P14))&lt;K7/C5,K7-SUM(E14:P14),K7/C5),0)</f>
        <v>0</v>
      </c>
      <c r="R14" s="23">
        <f>IF(SUM(E14:Q14)&lt;K7,IF((K7-SUM(E14:Q14))&lt;K7/C5,K7-SUM(E14:Q14),K7/C5),0)</f>
        <v>0</v>
      </c>
      <c r="S14" s="23">
        <f>IF(SUM(E14:R14)&lt;K7,IF((K7-SUM(E14:R14))&lt;K7/C5,K7-SUM(E14:R14),K7/C5),0)</f>
        <v>0</v>
      </c>
      <c r="T14" s="23">
        <f>IF(SUM(E14:S14)&lt;K7,IF((K7-SUM(E14:S14))&lt;K7/C5,K7-SUM(E14:S14),K7/C5),0)</f>
        <v>0</v>
      </c>
      <c r="U14" s="23">
        <f>IF(SUM(E14:T14)&lt;K7,IF((K7-SUM(E14:T14))&lt;K7/C5,K7-SUM(E14:T14),K7/C5),0)</f>
        <v>0</v>
      </c>
      <c r="V14" s="23">
        <f>IF(SUM(E14:U14)&lt;K7,IF((K7-SUM(E14:U14))&lt;K7/C5,K7-SUM(E14:U14),K7/C5),0)</f>
        <v>0</v>
      </c>
      <c r="W14" s="23">
        <f>IF(SUM(E14:V14)&lt;K7,IF((K7-SUM(E14:V14))&lt;K7/C5,K7-SUM(E14:V14),K7/C5),0)</f>
        <v>0</v>
      </c>
      <c r="X14" s="32">
        <f>IF(SUM(E14:W14)&lt;K7,IF((K7-SUM(E14:W14))&lt;K7/C5,K7-SUM(E14:W14),K7/C5),0)</f>
        <v>0</v>
      </c>
      <c r="Y14"/>
      <c r="Z14"/>
      <c r="AA14"/>
      <c r="AB14"/>
      <c r="AC14"/>
      <c r="AD14"/>
      <c r="AE14"/>
      <c r="AF14"/>
      <c r="AG14"/>
      <c r="AH14"/>
    </row>
    <row r="15" spans="1:34" s="1" customFormat="1" ht="16.5" customHeight="1">
      <c r="A15" s="147"/>
      <c r="B15" s="22" t="s">
        <v>189</v>
      </c>
      <c r="C15" s="19"/>
      <c r="D15" s="20">
        <f t="shared" si="2"/>
        <v>0</v>
      </c>
      <c r="E15" s="23"/>
      <c r="F15" s="23"/>
      <c r="G15" s="23"/>
      <c r="H15" s="23"/>
      <c r="I15" s="23"/>
      <c r="J15" s="23"/>
      <c r="K15" s="23"/>
      <c r="L15" s="23">
        <f>M15*(1-L6/12)</f>
        <v>0</v>
      </c>
      <c r="M15" s="23">
        <f>L7/C5</f>
        <v>0</v>
      </c>
      <c r="N15" s="23">
        <f>IF(SUM(E15:M15)&lt;L7,IF((L7-SUM(E15:M15))&lt;L7/C5,L7-SUM(E15:M15),L7/C5),0)</f>
        <v>0</v>
      </c>
      <c r="O15" s="23">
        <f>IF(SUM(E15:N15)&lt;L7,IF((L7-SUM(E15:N15))&lt;L7/C5,L7-SUM(E15:N15),L7/C5),0)</f>
        <v>0</v>
      </c>
      <c r="P15" s="23">
        <f>IF(SUM(E15:O15)&lt;L7,IF((L7-SUM(E15:O15))&lt;L7/C5,L7-SUM(E15:O15),L7/C5),0)</f>
        <v>0</v>
      </c>
      <c r="Q15" s="23">
        <f>IF(SUM(E15:P15)&lt;L7,IF((L7-SUM(E15:P15))&lt;L7/C5,L7-SUM(E15:P15),L7/C5),0)</f>
        <v>0</v>
      </c>
      <c r="R15" s="23">
        <f>IF(SUM(E15:Q15)&lt;L7,IF((L7-SUM(E15:Q15))&lt;L7/C5,L7-SUM(E15:Q15),L7/C5),0)</f>
        <v>0</v>
      </c>
      <c r="S15" s="23">
        <f>IF(SUM(E15:R15)&lt;L7,IF((L7-SUM(E15:R15))&lt;L7/C5,L7-SUM(E15:R15),L7/C5),0)</f>
        <v>0</v>
      </c>
      <c r="T15" s="23">
        <f>IF(SUM(E15:S15)&lt;L7,IF((L7-SUM(E15:S15))&lt;L7/C5,L7-SUM(E15:S15),L7/C5),0)</f>
        <v>0</v>
      </c>
      <c r="U15" s="23">
        <f>IF(SUM(E15:T15)&lt;L7,IF((L7-SUM(E15:T15))&lt;L7/C5,L7-SUM(E15:T15),L7/C5),0)</f>
        <v>0</v>
      </c>
      <c r="V15" s="23">
        <f>IF(SUM(E15:U15)&lt;L7,IF((L7-SUM(E15:U15))&lt;L7/C5,L7-SUM(E15:U15),L7/C5),0)</f>
        <v>0</v>
      </c>
      <c r="W15" s="23">
        <f>IF(SUM(E15:V15)&lt;L7,IF((L7-SUM(E15:V15))&lt;L7/C5,L7-SUM(E15:V15),L7/C5),0)</f>
        <v>0</v>
      </c>
      <c r="X15" s="32">
        <f>IF(SUM(E15:W15)&lt;L7,IF((L7-SUM(E15:W15))&lt;L7/C5,L7-SUM(E15:W15),L7/C5),0)</f>
        <v>0</v>
      </c>
      <c r="Y15"/>
      <c r="Z15"/>
      <c r="AA15"/>
      <c r="AB15"/>
      <c r="AC15"/>
      <c r="AD15"/>
      <c r="AE15"/>
      <c r="AF15"/>
      <c r="AG15"/>
      <c r="AH15"/>
    </row>
    <row r="16" spans="1:34" s="1" customFormat="1" ht="16.5" customHeight="1">
      <c r="A16" s="147"/>
      <c r="B16" s="22" t="s">
        <v>190</v>
      </c>
      <c r="C16" s="19"/>
      <c r="D16" s="20">
        <f t="shared" si="2"/>
        <v>0</v>
      </c>
      <c r="E16" s="23"/>
      <c r="F16" s="23"/>
      <c r="G16" s="23"/>
      <c r="H16" s="23"/>
      <c r="I16" s="23"/>
      <c r="J16" s="23"/>
      <c r="K16" s="23"/>
      <c r="L16" s="23"/>
      <c r="M16" s="23">
        <f>N16*(1-M6/12)</f>
        <v>0</v>
      </c>
      <c r="N16" s="23">
        <f>M7/C5</f>
        <v>0</v>
      </c>
      <c r="O16" s="23">
        <f>IF(SUM(E16:N16)&lt;M7,IF((M7-SUM(E16:N16))&lt;M7/C5,M7-SUM(E16:N16),M7/C5),0)</f>
        <v>0</v>
      </c>
      <c r="P16" s="23">
        <f>IF(SUM(E16:O16)&lt;M7,IF((M7-SUM(E16:O16))&lt;M7/C5,M7-SUM(E16:O16),M7/C5),0)</f>
        <v>0</v>
      </c>
      <c r="Q16" s="23">
        <f>IF(SUM(E16:P16)&lt;M7,IF((M7-SUM(E16:P16))&lt;M7/C5,M7-SUM(E16:P16),M7/C5),0)</f>
        <v>0</v>
      </c>
      <c r="R16" s="23">
        <f>IF(SUM(E16:Q16)&lt;M7,IF((M7-SUM(E16:Q16))&lt;M7/C5,M7-SUM(E16:Q16),M7/C5),0)</f>
        <v>0</v>
      </c>
      <c r="S16" s="23">
        <f>IF(SUM(E16:R16)&lt;M7,IF((M7-SUM(E16:R16))&lt;M7/C5,M7-SUM(E16:R16),M7/C5),0)</f>
        <v>0</v>
      </c>
      <c r="T16" s="23">
        <f>IF(SUM(E16:S16)&lt;M7,IF((M7-SUM(E16:S16))&lt;M7/C5,M7-SUM(E16:S16),M7/C5),0)</f>
        <v>0</v>
      </c>
      <c r="U16" s="23">
        <f>IF(SUM(E16:T16)&lt;M7,IF((M7-SUM(E16:T16))&lt;M7/C5,M7-SUM(E16:T16),M7/C5),0)</f>
        <v>0</v>
      </c>
      <c r="V16" s="23">
        <f>IF(SUM(E16:U16)&lt;M7,IF((M7-SUM(E16:U16))&lt;M7/C5,M7-SUM(E16:U16),M7/C5),0)</f>
        <v>0</v>
      </c>
      <c r="W16" s="23">
        <f>IF(SUM(E16:V16)&lt;M7,IF((M7-SUM(E16:V16))&lt;M7/C5,M7-SUM(E16:V16),M7/C5),0)</f>
        <v>0</v>
      </c>
      <c r="X16" s="32">
        <f>IF(SUM(E16:W16)&lt;M7,IF((M7-SUM(E16:W16))&lt;M7/C5,M7-SUM(E16:W16),M7/C5),0)</f>
        <v>0</v>
      </c>
      <c r="Y16"/>
      <c r="Z16"/>
      <c r="AA16"/>
      <c r="AB16"/>
      <c r="AC16"/>
      <c r="AD16"/>
      <c r="AE16"/>
      <c r="AF16"/>
      <c r="AG16"/>
      <c r="AH16"/>
    </row>
    <row r="17" spans="1:34" s="1" customFormat="1" ht="16.5" customHeight="1">
      <c r="A17" s="147"/>
      <c r="B17" s="22" t="s">
        <v>191</v>
      </c>
      <c r="C17" s="19"/>
      <c r="D17" s="20">
        <f t="shared" si="2"/>
        <v>0</v>
      </c>
      <c r="E17" s="23"/>
      <c r="F17" s="23"/>
      <c r="G17" s="23"/>
      <c r="H17" s="23"/>
      <c r="I17" s="23"/>
      <c r="J17" s="23"/>
      <c r="K17" s="23"/>
      <c r="L17" s="23"/>
      <c r="M17" s="23"/>
      <c r="N17" s="23">
        <f>O17*(1-N6/12)</f>
        <v>0</v>
      </c>
      <c r="O17" s="23">
        <f>N7/C5</f>
        <v>0</v>
      </c>
      <c r="P17" s="23">
        <f>IF(SUM(E17:O17)&lt;N7,IF((N7-SUM(E17:O17))&lt;N7/C5,N7-SUM(E17:O17),N7/C5),0)</f>
        <v>0</v>
      </c>
      <c r="Q17" s="23">
        <f>IF(SUM(E17:P17)&lt;N7,IF((N7-SUM(E17:P17))&lt;N7/C5,N7-SUM(E17:P17),N7/C5),0)</f>
        <v>0</v>
      </c>
      <c r="R17" s="23">
        <f>IF(SUM(E17:Q17)&lt;N7,IF((N7-SUM(E17:Q17))&lt;N7/C5,N7-SUM(E17:Q17),N7/C5),0)</f>
        <v>0</v>
      </c>
      <c r="S17" s="23">
        <f>IF(SUM(E17:R17)&lt;N7,IF((N7-SUM(E17:R17))&lt;N7/C5,N7-SUM(E17:R17),N7/C5),0)</f>
        <v>0</v>
      </c>
      <c r="T17" s="23">
        <f>IF(SUM(E17:S17)&lt;N7,IF((N7-SUM(E17:S17))&lt;N7/C5,N7-SUM(E17:S17),N7/C5),0)</f>
        <v>0</v>
      </c>
      <c r="U17" s="23">
        <f>IF(SUM(E17:T17)&lt;N7,IF((N7-SUM(E17:T17))&lt;N7/C5,N7-SUM(E17:T17),N7/C5),0)</f>
        <v>0</v>
      </c>
      <c r="V17" s="23">
        <f>IF(SUM(E17:U17)&lt;N7,IF((N7-SUM(E17:U17))&lt;N7/C5,N7-SUM(E17:U17),N7/C5),0)</f>
        <v>0</v>
      </c>
      <c r="W17" s="23">
        <f>IF(SUM(E17:V17)&lt;N7,IF((N7-SUM(E17:V17))&lt;N7/C5,N7-SUM(E17:V17),N7/C5),0)</f>
        <v>0</v>
      </c>
      <c r="X17" s="32">
        <f>IF(SUM(E17:W17)&lt;N7,IF((N7-SUM(E17:W17))&lt;N7/C5,N7-SUM(E17:W17),N7/C5),0)</f>
        <v>0</v>
      </c>
      <c r="Y17"/>
      <c r="Z17"/>
      <c r="AA17"/>
      <c r="AB17"/>
      <c r="AC17"/>
      <c r="AD17"/>
      <c r="AE17"/>
      <c r="AF17"/>
      <c r="AG17"/>
      <c r="AH17"/>
    </row>
    <row r="18" spans="1:34" s="1" customFormat="1" ht="16.5" customHeight="1">
      <c r="A18" s="147"/>
      <c r="B18" s="22" t="s">
        <v>192</v>
      </c>
      <c r="C18" s="19"/>
      <c r="D18" s="20">
        <f t="shared" si="2"/>
        <v>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>
        <f>P18*(1-O6/12)</f>
        <v>0</v>
      </c>
      <c r="P18" s="23">
        <f>O7/C5</f>
        <v>0</v>
      </c>
      <c r="Q18" s="23">
        <f>IF(SUM(E18:P18)&lt;O7,IF((O7-SUM(E18:P18))&lt;O7/C5,O7-SUM(E18:P18),O7/C5),0)</f>
        <v>0</v>
      </c>
      <c r="R18" s="23">
        <f>IF(SUM(E18:Q18)&lt;O7,IF((O7-SUM(E18:Q18))&lt;O7/C5,O7-SUM(E18:Q18),O7/C5),0)</f>
        <v>0</v>
      </c>
      <c r="S18" s="23">
        <f>IF(SUM(E18:R18)&lt;O7,IF((O7-SUM(E18:R18))&lt;O7/C5,O7-SUM(E18:R18),O7/C5),0)</f>
        <v>0</v>
      </c>
      <c r="T18" s="23">
        <f>IF(SUM(E18:S18)&lt;O7,IF((O7-SUM(E18:S18))&lt;O7/C5,O7-SUM(E18:S18),O7/C5),0)</f>
        <v>0</v>
      </c>
      <c r="U18" s="23">
        <f>IF(SUM(E18:T18)&lt;O7,IF((O7-SUM(E18:T18))&lt;O7/C5,O7-SUM(E18:T18),O7/C5),0)</f>
        <v>0</v>
      </c>
      <c r="V18" s="23">
        <f>IF(SUM(E18:U18)&lt;O7,IF((O7-SUM(E18:U18))&lt;O7/C5,O7-SUM(E18:U18),O7/C5),0)</f>
        <v>0</v>
      </c>
      <c r="W18" s="23">
        <f>IF(SUM(E18:V18)&lt;O7,IF((O7-SUM(E18:V18))&lt;O7/C5,O7-SUM(E18:V18),O7/C5),0)</f>
        <v>0</v>
      </c>
      <c r="X18" s="32">
        <f>IF(SUM(E18:W18)&lt;O7,IF((O7-SUM(E18:W18))&lt;O7/C5,O7-SUM(E18:W18),O7/C5),0)</f>
        <v>0</v>
      </c>
      <c r="Y18"/>
      <c r="Z18"/>
      <c r="AA18"/>
      <c r="AB18"/>
      <c r="AC18"/>
      <c r="AD18"/>
      <c r="AE18"/>
      <c r="AF18"/>
      <c r="AG18"/>
      <c r="AH18"/>
    </row>
    <row r="19" spans="1:34" s="1" customFormat="1" ht="16.5" customHeight="1">
      <c r="A19" s="147"/>
      <c r="B19"/>
      <c r="C19"/>
      <c r="D19" s="8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 s="29"/>
      <c r="Y19"/>
      <c r="Z19"/>
      <c r="AA19"/>
      <c r="AB19"/>
      <c r="AC19"/>
      <c r="AD19"/>
      <c r="AE19"/>
      <c r="AF19"/>
      <c r="AG19"/>
      <c r="AH19"/>
    </row>
    <row r="20" spans="1:34" s="1" customFormat="1" ht="16.5" customHeight="1">
      <c r="A20" s="147"/>
      <c r="B20" s="9" t="s">
        <v>193</v>
      </c>
      <c r="C20" s="24"/>
      <c r="D20" s="11">
        <f>SUM(E20:X20)</f>
        <v>0</v>
      </c>
      <c r="E20" s="12">
        <f>SUM(E24:E34)</f>
        <v>0</v>
      </c>
      <c r="F20" s="12">
        <f t="shared" ref="F20:X20" si="3">SUM(F24:F34)</f>
        <v>0</v>
      </c>
      <c r="G20" s="12">
        <f t="shared" si="3"/>
        <v>0</v>
      </c>
      <c r="H20" s="12">
        <f t="shared" si="3"/>
        <v>0</v>
      </c>
      <c r="I20" s="12">
        <f t="shared" si="3"/>
        <v>0</v>
      </c>
      <c r="J20" s="12">
        <f t="shared" si="3"/>
        <v>0</v>
      </c>
      <c r="K20" s="12">
        <f t="shared" si="3"/>
        <v>0</v>
      </c>
      <c r="L20" s="12">
        <f t="shared" si="3"/>
        <v>0</v>
      </c>
      <c r="M20" s="12">
        <f t="shared" si="3"/>
        <v>0</v>
      </c>
      <c r="N20" s="12">
        <f t="shared" si="3"/>
        <v>0</v>
      </c>
      <c r="O20" s="12">
        <f t="shared" si="3"/>
        <v>0</v>
      </c>
      <c r="P20" s="12">
        <f t="shared" si="3"/>
        <v>0</v>
      </c>
      <c r="Q20" s="12">
        <f t="shared" si="3"/>
        <v>0</v>
      </c>
      <c r="R20" s="12">
        <f t="shared" si="3"/>
        <v>0</v>
      </c>
      <c r="S20" s="12">
        <f t="shared" si="3"/>
        <v>0</v>
      </c>
      <c r="T20" s="12">
        <f t="shared" si="3"/>
        <v>0</v>
      </c>
      <c r="U20" s="12">
        <f t="shared" si="3"/>
        <v>0</v>
      </c>
      <c r="V20" s="12">
        <f t="shared" si="3"/>
        <v>0</v>
      </c>
      <c r="W20" s="12">
        <f t="shared" si="3"/>
        <v>0</v>
      </c>
      <c r="X20" s="30">
        <f t="shared" si="3"/>
        <v>0</v>
      </c>
      <c r="Y20"/>
      <c r="Z20"/>
      <c r="AA20"/>
    </row>
    <row r="21" spans="1:34" s="1" customFormat="1" ht="16.5" customHeight="1">
      <c r="A21" s="147"/>
      <c r="B21" s="13" t="s">
        <v>179</v>
      </c>
      <c r="C21" s="14">
        <v>7</v>
      </c>
      <c r="D21" s="140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2"/>
      <c r="Y21"/>
      <c r="Z21"/>
      <c r="AA21"/>
    </row>
    <row r="22" spans="1:34" s="1" customFormat="1" ht="16.5" customHeight="1">
      <c r="A22" s="147"/>
      <c r="B22" s="13" t="s">
        <v>180</v>
      </c>
      <c r="C22" s="15"/>
      <c r="D22" s="16"/>
      <c r="E22" s="17">
        <v>0</v>
      </c>
      <c r="F22" s="17">
        <v>0</v>
      </c>
      <c r="G22" s="17">
        <v>0</v>
      </c>
      <c r="H22" s="17">
        <v>6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26"/>
      <c r="Q22" s="26"/>
      <c r="R22" s="26"/>
      <c r="S22" s="26"/>
      <c r="T22" s="26"/>
      <c r="U22" s="26"/>
      <c r="V22" s="26"/>
      <c r="W22" s="26"/>
      <c r="X22" s="31"/>
      <c r="Y22"/>
      <c r="Z22"/>
      <c r="AA22"/>
    </row>
    <row r="23" spans="1:34" s="1" customFormat="1" ht="16.5" customHeight="1">
      <c r="A23" s="147"/>
      <c r="B23" s="18" t="s">
        <v>194</v>
      </c>
      <c r="C23" s="19"/>
      <c r="D23" s="20">
        <f>SUM(E23:O23)</f>
        <v>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6"/>
      <c r="Q23" s="26"/>
      <c r="R23" s="26"/>
      <c r="S23" s="26"/>
      <c r="T23" s="26"/>
      <c r="U23" s="26"/>
      <c r="V23" s="26"/>
      <c r="W23" s="26"/>
      <c r="X23" s="31"/>
      <c r="Y23"/>
      <c r="Z23"/>
      <c r="AA23"/>
    </row>
    <row r="24" spans="1:34" s="1" customFormat="1" ht="16.5" customHeight="1">
      <c r="A24" s="147"/>
      <c r="B24" s="22" t="s">
        <v>182</v>
      </c>
      <c r="C24" s="19"/>
      <c r="D24" s="20">
        <f t="shared" ref="D24:D34" si="4">SUM(E24:X24)</f>
        <v>0</v>
      </c>
      <c r="E24" s="23">
        <f>F24*(1-E22/12)</f>
        <v>0</v>
      </c>
      <c r="F24" s="23">
        <f>E23/C21</f>
        <v>0</v>
      </c>
      <c r="G24" s="23">
        <f>IF(SUM(E24:F24)&lt;E23,IF((E23-SUM(E24:F24))&lt;E23/C21,E23-SUM(E24:F24),E23/C21),0)</f>
        <v>0</v>
      </c>
      <c r="H24" s="23">
        <f>IF(SUM(E24:G24)&lt;E23,IF((E23-SUM(E24:G24))&lt;E23/C21,E23-SUM(E24:G24),E23/C21),0)</f>
        <v>0</v>
      </c>
      <c r="I24" s="23">
        <f>IF(SUM(E24:H24)&lt;E23,IF((E23-SUM(E24:H24))&lt;E23/C21,E23-SUM(E24:H24),E23/C21),0)</f>
        <v>0</v>
      </c>
      <c r="J24" s="23">
        <f>IF(SUM(E24:I24)&lt;E23,IF((E23-SUM(E24:I24))&lt;E23/C21,E23-SUM(E24:I24),E23/C21),0)</f>
        <v>0</v>
      </c>
      <c r="K24" s="23">
        <f>IF(SUM(E24:J24)&lt;E23,IF((E23-SUM(E24:J24))&lt;E23/C21,E23-SUM(E24:J24),E23/C21),0)</f>
        <v>0</v>
      </c>
      <c r="L24" s="23">
        <f>IF(SUM(E24:K24)&lt;E23,IF((E23-SUM(E24:K24))&lt;E23/C21,E23-SUM(E24:K24),E23/C21),0)</f>
        <v>0</v>
      </c>
      <c r="M24" s="23">
        <f>IF(SUM(E24:L24)&lt;E23,IF((E23-SUM(E24:L24))&lt;E23/C21,E23-SUM(E24:L24),E23/C21),0)</f>
        <v>0</v>
      </c>
      <c r="N24" s="23">
        <f>IF(SUM(E24:M24)&lt;E23,IF((E23-SUM(E24:M24))&lt;E23/C21,E23-SUM(E24:M24),E23/C21),0)</f>
        <v>0</v>
      </c>
      <c r="O24" s="23">
        <f>IF(SUM(E24:N24)&lt;E23,IF((E23-SUM(E24:N24))&lt;E23/C21,E23-SUM(E24:N24),E23/C21),0)</f>
        <v>0</v>
      </c>
      <c r="P24" s="23">
        <f>IF(SUM(E24:O24)&lt;E23,IF((E23-SUM(E24:O24))&lt;E23/C21,E23-SUM(E24:O24),E23/C21),0)</f>
        <v>0</v>
      </c>
      <c r="Q24" s="23">
        <f>IF(SUM(E24:P24)&lt;E23,IF((E23-SUM(E24:P24))&lt;E23/C21,E23-SUM(E24:P24),E23/C21),0)</f>
        <v>0</v>
      </c>
      <c r="R24" s="23">
        <f>IF(SUM(E24:Q24)&lt;E23,IF((E23-SUM(E24:Q24))&lt;E23/C21,E23-SUM(E24:Q24),E23/C21),0)</f>
        <v>0</v>
      </c>
      <c r="S24" s="23">
        <f>IF(SUM(E24:R24)&lt;E23,IF((E23-SUM(E24:R24))&lt;E23/C21,E23-SUM(E24:R24),E23/C21),0)</f>
        <v>0</v>
      </c>
      <c r="T24" s="23">
        <f>IF(SUM(E24:S24)&lt;E23,IF((E23-SUM(E24:S24))&lt;E23/C21,E23-SUM(E24:S24),E23/C21),0)</f>
        <v>0</v>
      </c>
      <c r="U24" s="23">
        <f>IF(SUM(E24:T24)&lt;E23,IF((E23-SUM(E24:T24))&lt;E23/C21,E23-SUM(E24:T24),E23/C21),0)</f>
        <v>0</v>
      </c>
      <c r="V24" s="23">
        <f>IF(SUM(E24:U24)&lt;E23,IF((E23-SUM(E24:U24))&lt;E23/C21,E23-SUM(E24:U24),E23/C21),0)</f>
        <v>0</v>
      </c>
      <c r="W24" s="23">
        <f>IF(SUM(E24:V24)&lt;E23,IF((E23-SUM(E24:V24))&lt;E23/C21,E23-SUM(E24:V24),E23/C21),0)</f>
        <v>0</v>
      </c>
      <c r="X24" s="32">
        <f>IF(SUM(E24:W24)&lt;E23,IF((E23-SUM(E24:W24))&lt;E23/C21,E23-SUM(E24:W24),E23/C21),0)</f>
        <v>0</v>
      </c>
      <c r="Y24"/>
      <c r="Z24"/>
      <c r="AA24"/>
    </row>
    <row r="25" spans="1:34" s="1" customFormat="1" ht="16.5" customHeight="1">
      <c r="A25" s="147"/>
      <c r="B25" s="22" t="s">
        <v>183</v>
      </c>
      <c r="C25" s="19"/>
      <c r="D25" s="20">
        <f t="shared" si="4"/>
        <v>0</v>
      </c>
      <c r="E25" s="23"/>
      <c r="F25" s="23">
        <f>G25*(1-F22/12)</f>
        <v>0</v>
      </c>
      <c r="G25" s="23">
        <f>F23/C21</f>
        <v>0</v>
      </c>
      <c r="H25" s="23">
        <f>IF(SUM(E25:G25)&lt;F23,IF((F23-SUM(E25:G25))&lt;F23/C21,F23-SUM(E25:G25),F23/C21),0)</f>
        <v>0</v>
      </c>
      <c r="I25" s="23">
        <f>IF(SUM(E25:H25)&lt;F23,IF((F23-SUM(E25:H25))&lt;F23/C21,F23-SUM(E25:H25),F23/C21),0)</f>
        <v>0</v>
      </c>
      <c r="J25" s="23">
        <f>IF(SUM(E25:I25)&lt;F23,IF((F23-SUM(E25:I25))&lt;F23/C21,F23-SUM(E25:I25),F23/C21),0)</f>
        <v>0</v>
      </c>
      <c r="K25" s="23">
        <f>IF(SUM(E25:J25)&lt;F23,IF((F23-SUM(E25:J25))&lt;F23/C21,F23-SUM(E25:J25),F23/C21),0)</f>
        <v>0</v>
      </c>
      <c r="L25" s="23">
        <f>IF(SUM(E25:K25)&lt;F23,IF((F23-SUM(E25:K25))&lt;F23/C21,F23-SUM(E25:K25),F23/C21),0)</f>
        <v>0</v>
      </c>
      <c r="M25" s="23">
        <f>IF(SUM(E25:L25)&lt;F23,IF((F23-SUM(E25:L25))&lt;F23/C21,F23-SUM(E25:L25),F23/C21),0)</f>
        <v>0</v>
      </c>
      <c r="N25" s="23">
        <f>IF(SUM(E25:M25)&lt;F23,IF((F23-SUM(E25:M25))&lt;F23/C21,F23-SUM(E25:M25),F23/C21),0)</f>
        <v>0</v>
      </c>
      <c r="O25" s="23">
        <f>IF(SUM(E25:N25)&lt;F23,IF((F23-SUM(E25:N25))&lt;F23/C21,F23-SUM(E25:N25),F23/C21),0)</f>
        <v>0</v>
      </c>
      <c r="P25" s="23">
        <f>IF(SUM(E25:O25)&lt;F23,IF((F23-SUM(E25:O25))&lt;F23/C21,F23-SUM(E25:O25),F23/C21),0)</f>
        <v>0</v>
      </c>
      <c r="Q25" s="23">
        <f>IF(SUM(E25:P25)&lt;F23,IF((F23-SUM(E25:P25))&lt;F23/C21,F23-SUM(E25:P25),F23/C21),0)</f>
        <v>0</v>
      </c>
      <c r="R25" s="23">
        <f>IF(SUM(E25:Q25)&lt;F23,IF((F23-SUM(E25:Q25))&lt;F23/C21,F23-SUM(E25:Q25),F23/C21),0)</f>
        <v>0</v>
      </c>
      <c r="S25" s="23">
        <f>IF(SUM(E25:R25)&lt;F23,IF((F23-SUM(E25:R25))&lt;F23/C21,F23-SUM(E25:R25),F23/C21),0)</f>
        <v>0</v>
      </c>
      <c r="T25" s="23">
        <f>IF(SUM(E25:S25)&lt;F23,IF((F23-SUM(E25:S25))&lt;F23/C21,F23-SUM(E25:S25),F23/C21),0)</f>
        <v>0</v>
      </c>
      <c r="U25" s="23">
        <f>IF(SUM(E25:T25)&lt;F23,IF((F23-SUM(E25:T25))&lt;F23/C21,F23-SUM(E25:T25),F23/C21),0)</f>
        <v>0</v>
      </c>
      <c r="V25" s="23">
        <f>IF(SUM(E25:U25)&lt;F23,IF((F23-SUM(E25:U25))&lt;F23/C21,F23-SUM(E25:U25),F23/C21),0)</f>
        <v>0</v>
      </c>
      <c r="W25" s="23">
        <f>IF(SUM(E25:V25)&lt;F23,IF((F23-SUM(E25:V25))&lt;F23/C21,F23-SUM(E25:V25),F23/C21),0)</f>
        <v>0</v>
      </c>
      <c r="X25" s="32">
        <f>IF(SUM(E25:W25)&lt;F23,IF((F23-SUM(E25:W25))&lt;F23/C21,F23-SUM(E25:W25),F23/C21),0)</f>
        <v>0</v>
      </c>
      <c r="Y25"/>
      <c r="Z25"/>
      <c r="AA25"/>
    </row>
    <row r="26" spans="1:34" s="1" customFormat="1" ht="16.5" customHeight="1">
      <c r="A26" s="147"/>
      <c r="B26" s="22" t="s">
        <v>184</v>
      </c>
      <c r="C26" s="19"/>
      <c r="D26" s="20">
        <f t="shared" si="4"/>
        <v>0</v>
      </c>
      <c r="E26" s="23"/>
      <c r="F26" s="23"/>
      <c r="G26" s="23">
        <f>H26*(1-G22/12)</f>
        <v>0</v>
      </c>
      <c r="H26" s="23">
        <f>G23/C21</f>
        <v>0</v>
      </c>
      <c r="I26" s="23">
        <f>IF(SUM(E26:H26)&lt;G23,IF((G23-SUM(E26:H26))&lt;G23/C21,G23-SUM(E26:H26),G23/C21),0)</f>
        <v>0</v>
      </c>
      <c r="J26" s="23">
        <f>IF(SUM(E26:I26)&lt;G23,IF((G23-SUM(E26:I26))&lt;G23/C21,G23-SUM(E26:I26),G23/C21),0)</f>
        <v>0</v>
      </c>
      <c r="K26" s="23">
        <f>IF(SUM(E26:J26)&lt;G23,IF((G23-SUM(E26:J26))&lt;G23/C21,G23-SUM(E26:J26),G23/C21),0)</f>
        <v>0</v>
      </c>
      <c r="L26" s="23">
        <f>IF(SUM(E26:K26)&lt;G23,IF((G23-SUM(E26:K26))&lt;G23/C21,G23-SUM(E26:K26),G23/C21),0)</f>
        <v>0</v>
      </c>
      <c r="M26" s="23">
        <f>IF(SUM(E26:L26)&lt;G23,IF((G23-SUM(E26:L26))&lt;G23/C21,G23-SUM(E26:L26),G23/C21),0)</f>
        <v>0</v>
      </c>
      <c r="N26" s="23">
        <f>IF(SUM(E26:M26)&lt;G23,IF((G23-SUM(E26:M26))&lt;G23/C21,G23-SUM(E26:M26),G23/C21),0)</f>
        <v>0</v>
      </c>
      <c r="O26" s="23">
        <f>IF(SUM(E26:N26)&lt;G23,IF((G23-SUM(E26:N26))&lt;G23/C21,G23-SUM(E26:N26),G23/C21),0)</f>
        <v>0</v>
      </c>
      <c r="P26" s="23">
        <f>IF(SUM(E26:O26)&lt;G23,IF((G23-SUM(E26:O26))&lt;G23/C21,G23-SUM(E26:O26),G23/C21),0)</f>
        <v>0</v>
      </c>
      <c r="Q26" s="23">
        <f>IF(SUM(E26:P26)&lt;G23,IF((G23-SUM(E26:P26))&lt;G23/C21,G23-SUM(E26:P26),G23/C21),0)</f>
        <v>0</v>
      </c>
      <c r="R26" s="23">
        <f>IF(SUM(E26:Q26)&lt;G23,IF((G23-SUM(E26:Q26))&lt;G23/C21,G23-SUM(E26:Q26),G23/C21),0)</f>
        <v>0</v>
      </c>
      <c r="S26" s="23">
        <f>IF(SUM(E26:R26)&lt;G23,IF((G23-SUM(E26:R26))&lt;G23/C21,G23-SUM(E26:R26),G23/C21),0)</f>
        <v>0</v>
      </c>
      <c r="T26" s="23">
        <f>IF(SUM(E26:S26)&lt;G23,IF((G23-SUM(E26:S26))&lt;G23/C21,G23-SUM(E26:S26),G23/C21),0)</f>
        <v>0</v>
      </c>
      <c r="U26" s="23">
        <f>IF(SUM(E26:T26)&lt;G23,IF((G23-SUM(E26:T26))&lt;G23/C21,G23-SUM(E26:T26),G23/C21),0)</f>
        <v>0</v>
      </c>
      <c r="V26" s="23">
        <f>IF(SUM(E26:U26)&lt;G23,IF((G23-SUM(E26:U26))&lt;G23/C21,G23-SUM(E26:U26),G23/C21),0)</f>
        <v>0</v>
      </c>
      <c r="W26" s="23">
        <f>IF(SUM(E26:V26)&lt;G23,IF((G23-SUM(E26:V26))&lt;G23/C21,G23-SUM(E26:V26),G23/C21),0)</f>
        <v>0</v>
      </c>
      <c r="X26" s="32">
        <f>IF(SUM(E26:W26)&lt;G23,IF((G23-SUM(E26:W26))&lt;G23/C21,G23-SUM(E26:W26),G23/C21),0)</f>
        <v>0</v>
      </c>
      <c r="Y26"/>
      <c r="Z26"/>
      <c r="AA26"/>
    </row>
    <row r="27" spans="1:34" s="1" customFormat="1" ht="16.5" customHeight="1">
      <c r="A27" s="147"/>
      <c r="B27" s="22" t="s">
        <v>185</v>
      </c>
      <c r="C27" s="19"/>
      <c r="D27" s="20">
        <f t="shared" si="4"/>
        <v>0</v>
      </c>
      <c r="E27" s="23"/>
      <c r="F27" s="23"/>
      <c r="G27" s="23"/>
      <c r="H27" s="23">
        <f>I27*(1-H22/12)</f>
        <v>0</v>
      </c>
      <c r="I27" s="23">
        <f>H23/C21</f>
        <v>0</v>
      </c>
      <c r="J27" s="23">
        <f>IF(SUM(E27:I27)&lt;H23,IF((H23-SUM(E27:I27))&lt;H23/C21,H23-SUM(E27:I27),H23/C21),0)</f>
        <v>0</v>
      </c>
      <c r="K27" s="23">
        <f>IF(SUM(E27:J27)&lt;H23,IF((H23-SUM(E27:J27))&lt;H23/C21,H23-SUM(E27:J27),H23/C21),0)</f>
        <v>0</v>
      </c>
      <c r="L27" s="23">
        <f>IF(SUM(E27:K27)&lt;H23,IF((H23-SUM(E27:K27))&lt;H23/C21,H23-SUM(E27:K27),H23/C21),0)</f>
        <v>0</v>
      </c>
      <c r="M27" s="23">
        <f>IF(SUM(E27:L27)&lt;H23,IF((H23-SUM(E27:L27))&lt;H23/C21,H23-SUM(E27:L27),H23/C21),0)</f>
        <v>0</v>
      </c>
      <c r="N27" s="23">
        <f>IF(SUM(E27:M27)&lt;H23,IF((H23-SUM(E27:M27))&lt;H23/C21,H23-SUM(E27:M27),H23/C21),0)</f>
        <v>0</v>
      </c>
      <c r="O27" s="23">
        <f>IF(SUM(E27:N27)&lt;H23,IF((H23-SUM(E27:N27))&lt;H23/C21,H23-SUM(E27:N27),H23/C21),0)</f>
        <v>0</v>
      </c>
      <c r="P27" s="23">
        <f>IF(SUM(E27:O27)&lt;H23,IF((H23-SUM(E27:O27))&lt;H23/C21,H23-SUM(E27:O27),H23/C21),0)</f>
        <v>0</v>
      </c>
      <c r="Q27" s="23">
        <f>IF(SUM(E27:P27)&lt;H23,IF((H23-SUM(E27:P27))&lt;H23/C21,H23-SUM(E27:P27),H23/C21),0)</f>
        <v>0</v>
      </c>
      <c r="R27" s="23">
        <f>IF(SUM(E27:Q27)&lt;H23,IF((H23-SUM(E27:Q27))&lt;H23/C21,H23-SUM(E27:Q27),H23/C21),0)</f>
        <v>0</v>
      </c>
      <c r="S27" s="23">
        <f>IF(SUM(E27:R27)&lt;H23,IF((H23-SUM(E27:R27))&lt;H23/C21,H23-SUM(E27:R27),H23/C21),0)</f>
        <v>0</v>
      </c>
      <c r="T27" s="23">
        <f>IF(SUM(E27:S27)&lt;H23,IF((H23-SUM(E27:S27))&lt;H23/C21,H23-SUM(E27:S27),H23/C21),0)</f>
        <v>0</v>
      </c>
      <c r="U27" s="23">
        <f>IF(SUM(E27:T27)&lt;H23,IF((H23-SUM(E27:T27))&lt;H23/C21,H23-SUM(E27:T27),H23/C21),0)</f>
        <v>0</v>
      </c>
      <c r="V27" s="23">
        <f>IF(SUM(E27:U27)&lt;H23,IF((H23-SUM(E27:U27))&lt;H23/C21,H23-SUM(E27:U27),H23/C21),0)</f>
        <v>0</v>
      </c>
      <c r="W27" s="23">
        <f>IF(SUM(E27:V27)&lt;H23,IF((H23-SUM(E27:V27))&lt;H23/C21,H23-SUM(E27:V27),H23/C21),0)</f>
        <v>0</v>
      </c>
      <c r="X27" s="32">
        <f>IF(SUM(E27:W27)&lt;H23,IF((H23-SUM(E27:W27))&lt;H23/C21,H23-SUM(E27:W27),H23/C21),0)</f>
        <v>0</v>
      </c>
      <c r="Y27"/>
      <c r="Z27"/>
      <c r="AA27"/>
    </row>
    <row r="28" spans="1:34" s="1" customFormat="1" ht="16.5" customHeight="1">
      <c r="A28" s="147"/>
      <c r="B28" s="22" t="s">
        <v>186</v>
      </c>
      <c r="C28" s="19"/>
      <c r="D28" s="20">
        <f t="shared" si="4"/>
        <v>0</v>
      </c>
      <c r="E28" s="23"/>
      <c r="F28" s="23"/>
      <c r="G28" s="23"/>
      <c r="H28" s="23"/>
      <c r="I28" s="23">
        <f>J28*(1-I22/12)</f>
        <v>0</v>
      </c>
      <c r="J28" s="23">
        <f>I23/C21</f>
        <v>0</v>
      </c>
      <c r="K28" s="23">
        <f>IF(SUM(E28:J28)&lt;I23,IF((I23-SUM(E28:J28))&lt;I23/C21,I23-SUM(E28:J28),I23/C21),0)</f>
        <v>0</v>
      </c>
      <c r="L28" s="23">
        <f>IF(SUM(E28:K28)&lt;I23,IF((I23-SUM(E28:K28))&lt;I23/C21,I23-SUM(E28:K28),I23/C21),0)</f>
        <v>0</v>
      </c>
      <c r="M28" s="23">
        <f>IF(SUM(E28:L28)&lt;I23,IF((I23-SUM(E28:L28))&lt;I23/C21,I23-SUM(E28:L28),I23/C21),0)</f>
        <v>0</v>
      </c>
      <c r="N28" s="23">
        <f>IF(SUM(E28:M28)&lt;I23,IF((I23-SUM(E28:M28))&lt;I23/C21,I23-SUM(E28:M28),I23/C21),0)</f>
        <v>0</v>
      </c>
      <c r="O28" s="23">
        <f>IF(SUM(E28:N28)&lt;I23,IF((I23-SUM(E28:N28))&lt;I23/C21,I23-SUM(E28:N28),I23/C21),0)</f>
        <v>0</v>
      </c>
      <c r="P28" s="23">
        <f>IF(SUM(E28:O28)&lt;I23,IF((I23-SUM(E28:O28))&lt;I23/C21,I23-SUM(E28:O28),I23/C21),0)</f>
        <v>0</v>
      </c>
      <c r="Q28" s="23">
        <f>IF(SUM(E28:P28)&lt;I23,IF((I23-SUM(E28:P28))&lt;I23/C21,I23-SUM(E28:P28),I23/C21),0)</f>
        <v>0</v>
      </c>
      <c r="R28" s="23">
        <f>IF(SUM(E28:Q28)&lt;I23,IF((I23-SUM(E28:Q28))&lt;I23/C21,I23-SUM(E28:Q28),I23/C21),0)</f>
        <v>0</v>
      </c>
      <c r="S28" s="23">
        <f>IF(SUM(E28:R28)&lt;I23,IF((I23-SUM(E28:R28))&lt;I23/C21,I23-SUM(E28:R28),I23/C21),0)</f>
        <v>0</v>
      </c>
      <c r="T28" s="23">
        <f>IF(SUM(E28:S28)&lt;I23,IF((I23-SUM(E28:S28))&lt;I23/C21,I23-SUM(E28:S28),I23/C21),0)</f>
        <v>0</v>
      </c>
      <c r="U28" s="23">
        <f>IF(SUM(E28:T28)&lt;I23,IF((I23-SUM(E28:T28))&lt;I23/C21,I23-SUM(E28:T28),I23/C21),0)</f>
        <v>0</v>
      </c>
      <c r="V28" s="23">
        <f>IF(SUM(E28:U28)&lt;I23,IF((I23-SUM(E28:U28))&lt;I23/C21,I23-SUM(E28:U28),I23/C21),0)</f>
        <v>0</v>
      </c>
      <c r="W28" s="23">
        <f>IF(SUM(E28:V28)&lt;I23,IF((I23-SUM(E28:V28))&lt;I23/C21,I23-SUM(E28:V28),I23/C21),0)</f>
        <v>0</v>
      </c>
      <c r="X28" s="32">
        <f>IF(SUM(E28:W28)&lt;I23,IF((I23-SUM(E28:W28))&lt;I23/C21,I23-SUM(E28:W28),I23/C21),0)</f>
        <v>0</v>
      </c>
      <c r="Y28"/>
      <c r="Z28"/>
      <c r="AA28"/>
    </row>
    <row r="29" spans="1:34" s="1" customFormat="1" ht="16.5" customHeight="1">
      <c r="A29" s="147"/>
      <c r="B29" s="22" t="s">
        <v>187</v>
      </c>
      <c r="C29" s="19"/>
      <c r="D29" s="20">
        <f t="shared" si="4"/>
        <v>0</v>
      </c>
      <c r="E29" s="23"/>
      <c r="F29" s="23"/>
      <c r="G29" s="23"/>
      <c r="H29" s="23"/>
      <c r="I29" s="23"/>
      <c r="J29" s="23">
        <f>K29*(1-J22/12)</f>
        <v>0</v>
      </c>
      <c r="K29" s="23">
        <f>J23/C21</f>
        <v>0</v>
      </c>
      <c r="L29" s="23">
        <f>IF(SUM(E29:K29)&lt;J23,IF((J23-SUM(E29:K29))&lt;J23/C21,J23-SUM(E29:K29),J23/C21),0)</f>
        <v>0</v>
      </c>
      <c r="M29" s="23">
        <f>IF(SUM(E29:L29)&lt;J23,IF((J23-SUM(E29:L29))&lt;J23/C21,J23-SUM(E29:L29),J23/C21),0)</f>
        <v>0</v>
      </c>
      <c r="N29" s="23">
        <f>IF(SUM(E29:M29)&lt;J23,IF((J23-SUM(E29:M29))&lt;J23/C21,J23-SUM(E29:M29),J23/C21),0)</f>
        <v>0</v>
      </c>
      <c r="O29" s="23">
        <f>IF(SUM(E29:N29)&lt;J23,IF((J23-SUM(E29:N29))&lt;J23/C21,J23-SUM(E29:N29),J23/C21),0)</f>
        <v>0</v>
      </c>
      <c r="P29" s="23">
        <f>IF(SUM(E29:O29)&lt;J23,IF((J23-SUM(E29:O29))&lt;J23/C21,J23-SUM(E29:O29),J23/C21),0)</f>
        <v>0</v>
      </c>
      <c r="Q29" s="23">
        <f>IF(SUM(E29:P29)&lt;J23,IF((J23-SUM(E29:P29))&lt;J23/C21,J23-SUM(E29:P29),J23/C21),0)</f>
        <v>0</v>
      </c>
      <c r="R29" s="23">
        <f>IF(SUM(E29:Q29)&lt;J23,IF((J23-SUM(E29:Q29))&lt;J23/C21,J23-SUM(E29:Q29),J23/C21),0)</f>
        <v>0</v>
      </c>
      <c r="S29" s="23">
        <f>IF(SUM(E29:R29)&lt;J23,IF((J23-SUM(E29:R29))&lt;J23/C21,J23-SUM(E29:R29),J23/C21),0)</f>
        <v>0</v>
      </c>
      <c r="T29" s="23">
        <f>IF(SUM(E29:S29)&lt;J23,IF((J23-SUM(E29:S29))&lt;J23/C21,J23-SUM(E29:S29),J23/C21),0)</f>
        <v>0</v>
      </c>
      <c r="U29" s="23">
        <f>IF(SUM(E29:T29)&lt;J23,IF((J23-SUM(E29:T29))&lt;J23/C21,J23-SUM(E29:T29),J23/C21),0)</f>
        <v>0</v>
      </c>
      <c r="V29" s="23">
        <f>IF(SUM(E29:U29)&lt;J23,IF((J23-SUM(E29:U29))&lt;J23/C21,J23-SUM(E29:U29),J23/C21),0)</f>
        <v>0</v>
      </c>
      <c r="W29" s="23">
        <f>IF(SUM(E29:V29)&lt;J23,IF((J23-SUM(E29:V29))&lt;J23/C21,J23-SUM(E29:V29),J23/C21),0)</f>
        <v>0</v>
      </c>
      <c r="X29" s="32">
        <f>IF(SUM(E29:W29)&lt;J23,IF((J23-SUM(E29:W29))&lt;J23/C21,J23-SUM(E29:W29),J23/C21),0)</f>
        <v>0</v>
      </c>
      <c r="Y29"/>
      <c r="Z29"/>
      <c r="AA29"/>
    </row>
    <row r="30" spans="1:34" s="1" customFormat="1" ht="16.5" customHeight="1">
      <c r="A30" s="147"/>
      <c r="B30" s="22" t="s">
        <v>188</v>
      </c>
      <c r="C30" s="19"/>
      <c r="D30" s="20">
        <f t="shared" si="4"/>
        <v>0</v>
      </c>
      <c r="E30" s="23"/>
      <c r="F30" s="23"/>
      <c r="G30" s="23"/>
      <c r="H30" s="23"/>
      <c r="I30" s="23"/>
      <c r="J30" s="23"/>
      <c r="K30" s="23">
        <f>L30*(1-K22/12)</f>
        <v>0</v>
      </c>
      <c r="L30" s="23">
        <f>K23/C21</f>
        <v>0</v>
      </c>
      <c r="M30" s="23">
        <f>IF(SUM(E30:L30)&lt;K23,IF((K23-SUM(E30:L30))&lt;K23/C21,K23-SUM(E30:L30),K23/C21),0)</f>
        <v>0</v>
      </c>
      <c r="N30" s="23">
        <f>IF(SUM(E30:M30)&lt;K23,IF((K23-SUM(E30:M30))&lt;K23/C21,K23-SUM(E30:M30),K23/C21),0)</f>
        <v>0</v>
      </c>
      <c r="O30" s="23">
        <f>IF(SUM(E30:N30)&lt;K23,IF((K23-SUM(E30:N30))&lt;K23/C21,K23-SUM(E30:N30),K23/C21),0)</f>
        <v>0</v>
      </c>
      <c r="P30" s="23">
        <f>IF(SUM(E30:O30)&lt;K23,IF((K23-SUM(E30:O30))&lt;K23/C21,K23-SUM(E30:O30),K23/C21),0)</f>
        <v>0</v>
      </c>
      <c r="Q30" s="23">
        <f>IF(SUM(E30:P30)&lt;K23,IF((K23-SUM(E30:P30))&lt;K23/C21,K23-SUM(E30:P30),K23/C21),0)</f>
        <v>0</v>
      </c>
      <c r="R30" s="23">
        <f>IF(SUM(E30:Q30)&lt;K23,IF((K23-SUM(E30:Q30))&lt;K23/C21,K23-SUM(E30:Q30),K23/C21),0)</f>
        <v>0</v>
      </c>
      <c r="S30" s="23">
        <f>IF(SUM(E30:R30)&lt;K23,IF((K23-SUM(E30:R30))&lt;K23/C21,K23-SUM(E30:R30),K23/C21),0)</f>
        <v>0</v>
      </c>
      <c r="T30" s="23">
        <f>IF(SUM(E30:S30)&lt;K23,IF((K23-SUM(E30:S30))&lt;K23/C21,K23-SUM(E30:S30),K23/C21),0)</f>
        <v>0</v>
      </c>
      <c r="U30" s="23">
        <f>IF(SUM(E30:T30)&lt;K23,IF((K23-SUM(E30:T30))&lt;K23/C21,K23-SUM(E30:T30),K23/C21),0)</f>
        <v>0</v>
      </c>
      <c r="V30" s="23">
        <f>IF(SUM(E30:U30)&lt;K23,IF((K23-SUM(E30:U30))&lt;K23/C21,K23-SUM(E30:U30),K23/C21),0)</f>
        <v>0</v>
      </c>
      <c r="W30" s="23">
        <f>IF(SUM(E30:V30)&lt;K23,IF((K23-SUM(E30:V30))&lt;K23/C21,K23-SUM(E30:V30),K23/C21),0)</f>
        <v>0</v>
      </c>
      <c r="X30" s="32">
        <f>IF(SUM(E30:W30)&lt;K23,IF((K23-SUM(E30:W30))&lt;K23/C21,K23-SUM(E30:W30),K23/C21),0)</f>
        <v>0</v>
      </c>
      <c r="Y30"/>
      <c r="Z30"/>
      <c r="AA30"/>
    </row>
    <row r="31" spans="1:34" s="1" customFormat="1" ht="16.5" customHeight="1">
      <c r="A31" s="147"/>
      <c r="B31" s="22" t="s">
        <v>189</v>
      </c>
      <c r="C31" s="19"/>
      <c r="D31" s="20">
        <f t="shared" si="4"/>
        <v>0</v>
      </c>
      <c r="E31" s="23"/>
      <c r="F31" s="23"/>
      <c r="G31" s="23"/>
      <c r="H31" s="23"/>
      <c r="I31" s="23"/>
      <c r="J31" s="23"/>
      <c r="K31" s="23"/>
      <c r="L31" s="23">
        <f>M31*(1-L22/12)</f>
        <v>0</v>
      </c>
      <c r="M31" s="23">
        <f>L23/C21</f>
        <v>0</v>
      </c>
      <c r="N31" s="23">
        <f>IF(SUM(E31:M31)&lt;L23,IF((L23-SUM(E31:M31))&lt;L23/C21,L23-SUM(E31:M31),L23/C21),0)</f>
        <v>0</v>
      </c>
      <c r="O31" s="23">
        <f>IF(SUM(E31:N31)&lt;L23,IF((L23-SUM(E31:N31))&lt;L23/C21,L23-SUM(E31:N31),L23/C21),0)</f>
        <v>0</v>
      </c>
      <c r="P31" s="23">
        <f>IF(SUM(E31:O31)&lt;L23,IF((L23-SUM(E31:O31))&lt;L23/C21,L23-SUM(E31:O31),L23/C21),0)</f>
        <v>0</v>
      </c>
      <c r="Q31" s="23">
        <f>IF(SUM(E31:P31)&lt;L23,IF((L23-SUM(E31:P31))&lt;L23/C21,L23-SUM(E31:P31),L23/C21),0)</f>
        <v>0</v>
      </c>
      <c r="R31" s="23">
        <f>IF(SUM(E31:Q31)&lt;L23,IF((L23-SUM(E31:Q31))&lt;L23/C21,L23-SUM(E31:Q31),L23/C21),0)</f>
        <v>0</v>
      </c>
      <c r="S31" s="23">
        <f>IF(SUM(E31:R31)&lt;L23,IF((L23-SUM(E31:R31))&lt;L23/C21,L23-SUM(E31:R31),L23/C21),0)</f>
        <v>0</v>
      </c>
      <c r="T31" s="23">
        <f>IF(SUM(E31:S31)&lt;L23,IF((L23-SUM(E31:S31))&lt;L23/C21,L23-SUM(E31:S31),L23/C21),0)</f>
        <v>0</v>
      </c>
      <c r="U31" s="23">
        <f>IF(SUM(E31:T31)&lt;L23,IF((L23-SUM(E31:T31))&lt;L23/C21,L23-SUM(E31:T31),L23/C21),0)</f>
        <v>0</v>
      </c>
      <c r="V31" s="23">
        <f>IF(SUM(E31:U31)&lt;L23,IF((L23-SUM(E31:U31))&lt;L23/C21,L23-SUM(E31:U31),L23/C21),0)</f>
        <v>0</v>
      </c>
      <c r="W31" s="23">
        <f>IF(SUM(E31:V31)&lt;L23,IF((L23-SUM(E31:V31))&lt;L23/C21,L23-SUM(E31:V31),L23/C21),0)</f>
        <v>0</v>
      </c>
      <c r="X31" s="32">
        <f>IF(SUM(E31:W31)&lt;L23,IF((L23-SUM(E31:W31))&lt;L23/C21,L23-SUM(E31:W31),L23/C21),0)</f>
        <v>0</v>
      </c>
      <c r="Y31"/>
      <c r="Z31"/>
      <c r="AA31"/>
    </row>
    <row r="32" spans="1:34" s="1" customFormat="1" ht="16.5" customHeight="1">
      <c r="A32" s="147"/>
      <c r="B32" s="22" t="s">
        <v>190</v>
      </c>
      <c r="C32" s="19"/>
      <c r="D32" s="20">
        <f t="shared" si="4"/>
        <v>0</v>
      </c>
      <c r="E32" s="23"/>
      <c r="F32" s="23"/>
      <c r="G32" s="23"/>
      <c r="H32" s="23"/>
      <c r="I32" s="23"/>
      <c r="J32" s="23"/>
      <c r="K32" s="23"/>
      <c r="L32" s="23"/>
      <c r="M32" s="23">
        <f>N32*(1-M22/12)</f>
        <v>0</v>
      </c>
      <c r="N32" s="23">
        <f>M23/C21</f>
        <v>0</v>
      </c>
      <c r="O32" s="23">
        <f>IF(SUM(E32:N32)&lt;M23,IF((M23-SUM(E32:N32))&lt;M23/C21,M23-SUM(E32:N32),M23/C21),0)</f>
        <v>0</v>
      </c>
      <c r="P32" s="23">
        <f>IF(SUM(E32:O32)&lt;M23,IF((M23-SUM(E32:O32))&lt;M23/C21,M23-SUM(E32:O32),M23/C21),0)</f>
        <v>0</v>
      </c>
      <c r="Q32" s="23">
        <f>IF(SUM(E32:P32)&lt;M23,IF((M23-SUM(E32:P32))&lt;M23/C21,M23-SUM(E32:P32),M23/C21),0)</f>
        <v>0</v>
      </c>
      <c r="R32" s="23">
        <f>IF(SUM(E32:Q32)&lt;M23,IF((M23-SUM(E32:Q32))&lt;M23/C21,M23-SUM(E32:Q32),M23/C21),0)</f>
        <v>0</v>
      </c>
      <c r="S32" s="23">
        <f>IF(SUM(E32:R32)&lt;M23,IF((M23-SUM(E32:R32))&lt;M23/C21,M23-SUM(E32:R32),M23/C21),0)</f>
        <v>0</v>
      </c>
      <c r="T32" s="23">
        <f>IF(SUM(E32:S32)&lt;M23,IF((M23-SUM(E32:S32))&lt;M23/C21,M23-SUM(E32:S32),M23/C21),0)</f>
        <v>0</v>
      </c>
      <c r="U32" s="23">
        <f>IF(SUM(E32:T32)&lt;M23,IF((M23-SUM(E32:T32))&lt;M23/C21,M23-SUM(E32:T32),M23/C21),0)</f>
        <v>0</v>
      </c>
      <c r="V32" s="23">
        <f>IF(SUM(E32:U32)&lt;M23,IF((M23-SUM(E32:U32))&lt;M23/C21,M23-SUM(E32:U32),M23/C21),0)</f>
        <v>0</v>
      </c>
      <c r="W32" s="23">
        <f>IF(SUM(E32:V32)&lt;M23,IF((M23-SUM(E32:V32))&lt;M23/C21,M23-SUM(E32:V32),M23/C21),0)</f>
        <v>0</v>
      </c>
      <c r="X32" s="32">
        <f>IF(SUM(E32:W32)&lt;M23,IF((M23-SUM(E32:W32))&lt;M23/C21,M23-SUM(E32:W32),M23/C21),0)</f>
        <v>0</v>
      </c>
      <c r="Y32"/>
      <c r="Z32"/>
      <c r="AA32"/>
    </row>
    <row r="33" spans="1:27" s="1" customFormat="1" ht="16.5" customHeight="1">
      <c r="A33" s="147"/>
      <c r="B33" s="22" t="s">
        <v>191</v>
      </c>
      <c r="C33" s="19"/>
      <c r="D33" s="20">
        <f t="shared" si="4"/>
        <v>0</v>
      </c>
      <c r="E33" s="23"/>
      <c r="F33" s="23"/>
      <c r="G33" s="23"/>
      <c r="H33" s="23"/>
      <c r="I33" s="23"/>
      <c r="J33" s="23"/>
      <c r="K33" s="23"/>
      <c r="L33" s="23"/>
      <c r="M33" s="23"/>
      <c r="N33" s="23">
        <f>O33*(1-N22/12)</f>
        <v>0</v>
      </c>
      <c r="O33" s="23">
        <f>N23/C21</f>
        <v>0</v>
      </c>
      <c r="P33" s="23">
        <f>IF(SUM(E33:O33)&lt;N23,IF((N23-SUM(E33:O33))&lt;N23/C21,N23-SUM(E33:O33),N23/C21),0)</f>
        <v>0</v>
      </c>
      <c r="Q33" s="23">
        <f>IF(SUM(E33:P33)&lt;N23,IF((N23-SUM(E33:P33))&lt;N23/C21,N23-SUM(E33:P33),N23/C21),0)</f>
        <v>0</v>
      </c>
      <c r="R33" s="23">
        <f>IF(SUM(E33:Q33)&lt;N23,IF((N23-SUM(E33:Q33))&lt;N23/C21,N23-SUM(E33:Q33),N23/C21),0)</f>
        <v>0</v>
      </c>
      <c r="S33" s="23">
        <f>IF(SUM(E33:R33)&lt;N23,IF((N23-SUM(E33:R33))&lt;N23/C21,N23-SUM(E33:R33),N23/C21),0)</f>
        <v>0</v>
      </c>
      <c r="T33" s="23">
        <f>IF(SUM(E33:S33)&lt;N23,IF((N23-SUM(E33:S33))&lt;N23/C21,N23-SUM(E33:S33),N23/C21),0)</f>
        <v>0</v>
      </c>
      <c r="U33" s="23">
        <f>IF(SUM(E33:T33)&lt;N23,IF((N23-SUM(E33:T33))&lt;N23/C21,N23-SUM(E33:T33),N23/C21),0)</f>
        <v>0</v>
      </c>
      <c r="V33" s="23">
        <f>IF(SUM(E33:U33)&lt;N23,IF((N23-SUM(E33:U33))&lt;N23/C21,N23-SUM(E33:U33),N23/C21),0)</f>
        <v>0</v>
      </c>
      <c r="W33" s="23">
        <f>IF(SUM(E33:V33)&lt;N23,IF((N23-SUM(E33:V33))&lt;N23/C21,N23-SUM(E33:V33),N23/C21),0)</f>
        <v>0</v>
      </c>
      <c r="X33" s="32">
        <f>IF(SUM(E33:W33)&lt;N23,IF((N23-SUM(E33:W33))&lt;N23/C21,N23-SUM(E33:W33),N23/C21),0)</f>
        <v>0</v>
      </c>
      <c r="Y33"/>
      <c r="Z33"/>
      <c r="AA33"/>
    </row>
    <row r="34" spans="1:27" s="1" customFormat="1" ht="16.5" customHeight="1">
      <c r="A34" s="147"/>
      <c r="B34" s="22" t="s">
        <v>192</v>
      </c>
      <c r="C34" s="19"/>
      <c r="D34" s="20">
        <f t="shared" si="4"/>
        <v>0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>
        <f>P34*(1-O22/12)</f>
        <v>0</v>
      </c>
      <c r="P34" s="23">
        <f>O23/C21</f>
        <v>0</v>
      </c>
      <c r="Q34" s="23">
        <f>IF(SUM(E34:P34)&lt;O23,IF((O23-SUM(E34:P34))&lt;O23/C21,O23-SUM(E34:P34),O23/C21),0)</f>
        <v>0</v>
      </c>
      <c r="R34" s="23">
        <f>IF(SUM(E34:Q34)&lt;O23,IF((O23-SUM(E34:Q34))&lt;O23/C21,O23-SUM(E34:Q34),O23/C21),0)</f>
        <v>0</v>
      </c>
      <c r="S34" s="23">
        <f>IF(SUM(E34:R34)&lt;O23,IF((O23-SUM(E34:R34))&lt;O23/C21,O23-SUM(E34:R34),O23/C21),0)</f>
        <v>0</v>
      </c>
      <c r="T34" s="23">
        <f>IF(SUM(E34:S34)&lt;O23,IF((O23-SUM(E34:S34))&lt;O23/C21,O23-SUM(E34:S34),O23/C21),0)</f>
        <v>0</v>
      </c>
      <c r="U34" s="23">
        <f>IF(SUM(E34:T34)&lt;O23,IF((O23-SUM(E34:T34))&lt;O23/C21,O23-SUM(E34:T34),O23/C21),0)</f>
        <v>0</v>
      </c>
      <c r="V34" s="23">
        <f>IF(SUM(E34:U34)&lt;O23,IF((O23-SUM(E34:U34))&lt;O23/C21,O23-SUM(E34:U34),O23/C21),0)</f>
        <v>0</v>
      </c>
      <c r="W34" s="23">
        <f>IF(SUM(E34:V34)&lt;O23,IF((O23-SUM(E34:V34))&lt;O23/C21,O23-SUM(E34:V34),O23/C21),0)</f>
        <v>0</v>
      </c>
      <c r="X34" s="32">
        <f>IF(SUM(E34:W34)&lt;O23,IF((O23-SUM(E34:W34))&lt;O23/C21,O23-SUM(E34:W34),O23/C21),0)</f>
        <v>0</v>
      </c>
      <c r="Y34"/>
      <c r="Z34"/>
      <c r="AA34"/>
    </row>
    <row r="35" spans="1:27" s="1" customFormat="1" ht="16.5" customHeight="1">
      <c r="A35" s="147"/>
      <c r="B35"/>
      <c r="C35"/>
      <c r="D35" s="8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 s="29"/>
      <c r="Y35"/>
      <c r="Z35"/>
      <c r="AA35"/>
    </row>
    <row r="36" spans="1:27" s="1" customFormat="1" ht="16.5" customHeight="1">
      <c r="A36" s="147"/>
      <c r="B36" s="9" t="s">
        <v>195</v>
      </c>
      <c r="C36" s="24"/>
      <c r="D36" s="11">
        <f>SUM(E36:X36)</f>
        <v>0</v>
      </c>
      <c r="E36" s="12">
        <f>SUM(E40:E50)</f>
        <v>0</v>
      </c>
      <c r="F36" s="12">
        <f t="shared" ref="F36:X36" si="5">SUM(F40:F50)</f>
        <v>0</v>
      </c>
      <c r="G36" s="12">
        <f t="shared" si="5"/>
        <v>0</v>
      </c>
      <c r="H36" s="12">
        <f t="shared" si="5"/>
        <v>0</v>
      </c>
      <c r="I36" s="12">
        <f t="shared" si="5"/>
        <v>0</v>
      </c>
      <c r="J36" s="12">
        <f t="shared" si="5"/>
        <v>0</v>
      </c>
      <c r="K36" s="12">
        <f t="shared" si="5"/>
        <v>0</v>
      </c>
      <c r="L36" s="12">
        <f t="shared" si="5"/>
        <v>0</v>
      </c>
      <c r="M36" s="12">
        <f t="shared" si="5"/>
        <v>0</v>
      </c>
      <c r="N36" s="12">
        <f t="shared" si="5"/>
        <v>0</v>
      </c>
      <c r="O36" s="12">
        <f t="shared" si="5"/>
        <v>0</v>
      </c>
      <c r="P36" s="12">
        <f t="shared" si="5"/>
        <v>0</v>
      </c>
      <c r="Q36" s="12">
        <f t="shared" si="5"/>
        <v>0</v>
      </c>
      <c r="R36" s="12">
        <f t="shared" si="5"/>
        <v>0</v>
      </c>
      <c r="S36" s="12">
        <f t="shared" si="5"/>
        <v>0</v>
      </c>
      <c r="T36" s="12">
        <f t="shared" si="5"/>
        <v>0</v>
      </c>
      <c r="U36" s="12">
        <f t="shared" si="5"/>
        <v>0</v>
      </c>
      <c r="V36" s="12">
        <f t="shared" si="5"/>
        <v>0</v>
      </c>
      <c r="W36" s="12">
        <f t="shared" si="5"/>
        <v>0</v>
      </c>
      <c r="X36" s="30">
        <f t="shared" si="5"/>
        <v>0</v>
      </c>
    </row>
    <row r="37" spans="1:27" s="1" customFormat="1" ht="16.5" customHeight="1">
      <c r="A37" s="147"/>
      <c r="B37" s="13" t="s">
        <v>179</v>
      </c>
      <c r="C37" s="14">
        <v>10</v>
      </c>
      <c r="D37" s="140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2"/>
    </row>
    <row r="38" spans="1:27" s="1" customFormat="1" ht="16.5" customHeight="1">
      <c r="A38" s="147"/>
      <c r="B38" s="13" t="s">
        <v>180</v>
      </c>
      <c r="C38" s="15"/>
      <c r="D38" s="16"/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26"/>
      <c r="Q38" s="26"/>
      <c r="R38" s="26"/>
      <c r="S38" s="26"/>
      <c r="T38" s="26"/>
      <c r="U38" s="26"/>
      <c r="V38" s="26"/>
      <c r="W38" s="26"/>
      <c r="X38" s="31"/>
    </row>
    <row r="39" spans="1:27" s="1" customFormat="1" ht="16.5" customHeight="1">
      <c r="A39" s="147"/>
      <c r="B39" s="18" t="s">
        <v>196</v>
      </c>
      <c r="C39" s="19"/>
      <c r="D39" s="20">
        <f>SUM(E39:O39)</f>
        <v>0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26"/>
      <c r="Q39" s="26"/>
      <c r="R39" s="26"/>
      <c r="S39" s="26"/>
      <c r="T39" s="26"/>
      <c r="U39" s="26"/>
      <c r="V39" s="26"/>
      <c r="W39" s="26"/>
      <c r="X39" s="31"/>
    </row>
    <row r="40" spans="1:27" s="1" customFormat="1" ht="16.5" customHeight="1">
      <c r="A40" s="147"/>
      <c r="B40" s="22" t="s">
        <v>182</v>
      </c>
      <c r="C40" s="19"/>
      <c r="D40" s="20">
        <f t="shared" ref="D40:D50" si="6">SUM(E40:X40)</f>
        <v>0</v>
      </c>
      <c r="E40" s="23">
        <f>F40*(1-E38/12)</f>
        <v>0</v>
      </c>
      <c r="F40" s="23">
        <f>E39/C37</f>
        <v>0</v>
      </c>
      <c r="G40" s="23">
        <f>IF(SUM(E40:F40)&lt;E39,IF((E39-SUM(E40:F40))&lt;E39/C37,E39-SUM(E40:F40),E39/C37),0)</f>
        <v>0</v>
      </c>
      <c r="H40" s="23">
        <f>IF(SUM(E40:G40)&lt;E39,IF((E39-SUM(E40:G40))&lt;E39/C37,E39-SUM(E40:G40),E39/C37),0)</f>
        <v>0</v>
      </c>
      <c r="I40" s="23">
        <f>IF(SUM(E40:H40)&lt;E39,IF((E39-SUM(E40:H40))&lt;E39/C37,E39-SUM(E40:H40),E39/C37),0)</f>
        <v>0</v>
      </c>
      <c r="J40" s="23">
        <f>IF(SUM(E40:I40)&lt;E39,IF((E39-SUM(E40:I40))&lt;E39/C37,E39-SUM(E40:I40),E39/C37),0)</f>
        <v>0</v>
      </c>
      <c r="K40" s="23">
        <f>IF(SUM(E40:J40)&lt;E39,IF((E39-SUM(E40:J40))&lt;E39/C37,E39-SUM(E40:J40),E39/C37),0)</f>
        <v>0</v>
      </c>
      <c r="L40" s="23">
        <f>IF(SUM(E40:K40)&lt;E39,IF((E39-SUM(E40:K40))&lt;E39/C37,E39-SUM(E40:K40),E39/C37),0)</f>
        <v>0</v>
      </c>
      <c r="M40" s="23">
        <f>IF(SUM(E40:L40)&lt;E39,IF((E39-SUM(E40:L40))&lt;E39/C37,E39-SUM(E40:L40),E39/C37),0)</f>
        <v>0</v>
      </c>
      <c r="N40" s="23">
        <f>IF(SUM(E40:M40)&lt;E39,IF((E39-SUM(E40:M40))&lt;E39/C37,E39-SUM(E40:M40),E39/C37),0)</f>
        <v>0</v>
      </c>
      <c r="O40" s="23">
        <f>IF(SUM(E40:N40)&lt;E39,IF((E39-SUM(E40:N40))&lt;E39/C37,E39-SUM(E40:N40),E39/C37),0)</f>
        <v>0</v>
      </c>
      <c r="P40" s="23">
        <f>IF(SUM(E40:O40)&lt;E39,IF((E39-SUM(E40:O40))&lt;E39/C37,E39-SUM(E40:O40),E39/C37),0)</f>
        <v>0</v>
      </c>
      <c r="Q40" s="23">
        <f>IF(SUM(E40:P40)&lt;E39,IF((E39-SUM(E40:P40))&lt;E39/C37,E39-SUM(E40:P40),E39/C37),0)</f>
        <v>0</v>
      </c>
      <c r="R40" s="23">
        <f>IF(SUM(E40:Q40)&lt;E39,IF((E39-SUM(E40:Q40))&lt;E39/C37,E39-SUM(E40:Q40),E39/C37),0)</f>
        <v>0</v>
      </c>
      <c r="S40" s="23">
        <f>IF(SUM(E40:R40)&lt;E39,IF((E39-SUM(E40:R40))&lt;E39/C37,E39-SUM(E40:R40),E39/C37),0)</f>
        <v>0</v>
      </c>
      <c r="T40" s="23">
        <f>IF(SUM(E40:S40)&lt;E39,IF((E39-SUM(E40:S40))&lt;E39/C37,E39-SUM(E40:S40),E39/C37),0)</f>
        <v>0</v>
      </c>
      <c r="U40" s="23">
        <f>IF(SUM(E40:T40)&lt;E39,IF((E39-SUM(E40:T40))&lt;E39/C37,E39-SUM(E40:T40),E39/C37),0)</f>
        <v>0</v>
      </c>
      <c r="V40" s="23">
        <f>IF(SUM(E40:U40)&lt;E39,IF((E39-SUM(E40:U40))&lt;E39/C37,E39-SUM(E40:U40),E39/C37),0)</f>
        <v>0</v>
      </c>
      <c r="W40" s="23">
        <f>IF(SUM(E40:V40)&lt;E39,IF((E39-SUM(E40:V40))&lt;E39/C37,E39-SUM(E40:V40),E39/C37),0)</f>
        <v>0</v>
      </c>
      <c r="X40" s="32">
        <f>IF(SUM(E40:W40)&lt;E39,IF((E39-SUM(E40:W40))&lt;E39/C37,E39-SUM(E40:W40),E39/C37),0)</f>
        <v>0</v>
      </c>
    </row>
    <row r="41" spans="1:27" s="1" customFormat="1" ht="16.5" customHeight="1">
      <c r="A41" s="147"/>
      <c r="B41" s="22" t="s">
        <v>183</v>
      </c>
      <c r="C41" s="19"/>
      <c r="D41" s="20">
        <f t="shared" si="6"/>
        <v>0</v>
      </c>
      <c r="E41" s="23"/>
      <c r="F41" s="23">
        <f>G41*(1-F38/12)</f>
        <v>0</v>
      </c>
      <c r="G41" s="23">
        <f>F39/C37</f>
        <v>0</v>
      </c>
      <c r="H41" s="23">
        <f>IF(SUM(E41:G41)&lt;F39,IF((F39-SUM(E41:G41))&lt;F39/C37,F39-SUM(E41:G41),F39/C37),0)</f>
        <v>0</v>
      </c>
      <c r="I41" s="23">
        <f>IF(SUM(E41:H41)&lt;F39,IF((F39-SUM(E41:H41))&lt;F39/C37,F39-SUM(E41:H41),F39/C37),0)</f>
        <v>0</v>
      </c>
      <c r="J41" s="23">
        <f>IF(SUM(E41:I41)&lt;F39,IF((F39-SUM(E41:I41))&lt;F39/C37,F39-SUM(E41:I41),F39/C37),0)</f>
        <v>0</v>
      </c>
      <c r="K41" s="23">
        <f>IF(SUM(E41:J41)&lt;F39,IF((F39-SUM(E41:J41))&lt;F39/C37,F39-SUM(E41:J41),F39/C37),0)</f>
        <v>0</v>
      </c>
      <c r="L41" s="23">
        <f>IF(SUM(E41:K41)&lt;F39,IF((F39-SUM(E41:K41))&lt;F39/C37,F39-SUM(E41:K41),F39/C37),0)</f>
        <v>0</v>
      </c>
      <c r="M41" s="23">
        <f>IF(SUM(E41:L41)&lt;F39,IF((F39-SUM(E41:L41))&lt;F39/C37,F39-SUM(E41:L41),F39/C37),0)</f>
        <v>0</v>
      </c>
      <c r="N41" s="23">
        <f>IF(SUM(E41:M41)&lt;F39,IF((F39-SUM(E41:M41))&lt;F39/C37,F39-SUM(E41:M41),F39/C37),0)</f>
        <v>0</v>
      </c>
      <c r="O41" s="23">
        <f>IF(SUM(E41:N41)&lt;F39,IF((F39-SUM(E41:N41))&lt;F39/C37,F39-SUM(E41:N41),F39/C37),0)</f>
        <v>0</v>
      </c>
      <c r="P41" s="23">
        <f>IF(SUM(E41:O41)&lt;F39,IF((F39-SUM(E41:O41))&lt;F39/C37,F39-SUM(E41:O41),F39/C37),0)</f>
        <v>0</v>
      </c>
      <c r="Q41" s="23">
        <f>IF(SUM(E41:P41)&lt;F39,IF((F39-SUM(E41:P41))&lt;F39/C37,F39-SUM(E41:P41),F39/C37),0)</f>
        <v>0</v>
      </c>
      <c r="R41" s="23">
        <f>IF(SUM(E41:Q41)&lt;F39,IF((F39-SUM(E41:Q41))&lt;F39/C37,F39-SUM(E41:Q41),F39/C37),0)</f>
        <v>0</v>
      </c>
      <c r="S41" s="23">
        <f>IF(SUM(E41:R41)&lt;F39,IF((F39-SUM(E41:R41))&lt;F39/C37,F39-SUM(E41:R41),F39/C37),0)</f>
        <v>0</v>
      </c>
      <c r="T41" s="23">
        <f>IF(SUM(E41:S41)&lt;F39,IF((F39-SUM(E41:S41))&lt;F39/C37,F39-SUM(E41:S41),F39/C37),0)</f>
        <v>0</v>
      </c>
      <c r="U41" s="23">
        <f>IF(SUM(E41:T41)&lt;F39,IF((F39-SUM(E41:T41))&lt;F39/C37,F39-SUM(E41:T41),F39/C37),0)</f>
        <v>0</v>
      </c>
      <c r="V41" s="23">
        <f>IF(SUM(E41:U41)&lt;F39,IF((F39-SUM(E41:U41))&lt;F39/C37,F39-SUM(E41:U41),F39/C37),0)</f>
        <v>0</v>
      </c>
      <c r="W41" s="23">
        <f>IF(SUM(E41:V41)&lt;F39,IF((F39-SUM(E41:V41))&lt;F39/C37,F39-SUM(E41:V41),F39/C37),0)</f>
        <v>0</v>
      </c>
      <c r="X41" s="32">
        <f>IF(SUM(E41:W41)&lt;F39,IF((F39-SUM(E41:W41))&lt;F39/C37,F39-SUM(E41:W41),F39/C37),0)</f>
        <v>0</v>
      </c>
    </row>
    <row r="42" spans="1:27" s="1" customFormat="1" ht="16.5" customHeight="1">
      <c r="A42" s="147"/>
      <c r="B42" s="22" t="s">
        <v>184</v>
      </c>
      <c r="C42" s="19"/>
      <c r="D42" s="20">
        <f t="shared" si="6"/>
        <v>0</v>
      </c>
      <c r="E42" s="23"/>
      <c r="F42" s="23"/>
      <c r="G42" s="23">
        <f>H42*(1-G38/12)</f>
        <v>0</v>
      </c>
      <c r="H42" s="23">
        <f>G39/C37</f>
        <v>0</v>
      </c>
      <c r="I42" s="23">
        <f>IF(SUM(E42:H42)&lt;G39,IF((G39-SUM(E42:H42))&lt;G39/C37,G39-SUM(E42:H42),G39/C37),0)</f>
        <v>0</v>
      </c>
      <c r="J42" s="23">
        <f>IF(SUM(E42:I42)&lt;G39,IF((G39-SUM(E42:I42))&lt;G39/C37,G39-SUM(E42:I42),G39/C37),0)</f>
        <v>0</v>
      </c>
      <c r="K42" s="23">
        <f>IF(SUM(E42:J42)&lt;G39,IF((G39-SUM(E42:J42))&lt;G39/C37,G39-SUM(E42:J42),G39/C37),0)</f>
        <v>0</v>
      </c>
      <c r="L42" s="23">
        <f>IF(SUM(E42:K42)&lt;G39,IF((G39-SUM(E42:K42))&lt;G39/C37,G39-SUM(E42:K42),G39/C37),0)</f>
        <v>0</v>
      </c>
      <c r="M42" s="23">
        <f>IF(SUM(E42:L42)&lt;G39,IF((G39-SUM(E42:L42))&lt;G39/C37,G39-SUM(E42:L42),G39/C37),0)</f>
        <v>0</v>
      </c>
      <c r="N42" s="23">
        <f>IF(SUM(E42:M42)&lt;G39,IF((G39-SUM(E42:M42))&lt;G39/C37,G39-SUM(E42:M42),G39/C37),0)</f>
        <v>0</v>
      </c>
      <c r="O42" s="23">
        <f>IF(SUM(E42:N42)&lt;G39,IF((G39-SUM(E42:N42))&lt;G39/C37,G39-SUM(E42:N42),G39/C37),0)</f>
        <v>0</v>
      </c>
      <c r="P42" s="23">
        <f>IF(SUM(E42:O42)&lt;G39,IF((G39-SUM(E42:O42))&lt;G39/C37,G39-SUM(E42:O42),G39/C37),0)</f>
        <v>0</v>
      </c>
      <c r="Q42" s="23">
        <f>IF(SUM(E42:P42)&lt;G39,IF((G39-SUM(E42:P42))&lt;G39/C37,G39-SUM(E42:P42),G39/C37),0)</f>
        <v>0</v>
      </c>
      <c r="R42" s="23">
        <f>IF(SUM(E42:Q42)&lt;G39,IF((G39-SUM(E42:Q42))&lt;G39/C37,G39-SUM(E42:Q42),G39/C37),0)</f>
        <v>0</v>
      </c>
      <c r="S42" s="23">
        <f>IF(SUM(E42:R42)&lt;G39,IF((G39-SUM(E42:R42))&lt;G39/C37,G39-SUM(E42:R42),G39/C37),0)</f>
        <v>0</v>
      </c>
      <c r="T42" s="23">
        <f>IF(SUM(E42:S42)&lt;G39,IF((G39-SUM(E42:S42))&lt;G39/C37,G39-SUM(E42:S42),G39/C37),0)</f>
        <v>0</v>
      </c>
      <c r="U42" s="23">
        <f>IF(SUM(E42:T42)&lt;G39,IF((G39-SUM(E42:T42))&lt;G39/C37,G39-SUM(E42:T42),G39/C37),0)</f>
        <v>0</v>
      </c>
      <c r="V42" s="23">
        <f>IF(SUM(E42:U42)&lt;G39,IF((G39-SUM(E42:U42))&lt;G39/C37,G39-SUM(E42:U42),G39/C37),0)</f>
        <v>0</v>
      </c>
      <c r="W42" s="23">
        <f>IF(SUM(E42:V42)&lt;G39,IF((G39-SUM(E42:V42))&lt;G39/C37,G39-SUM(E42:V42),G39/C37),0)</f>
        <v>0</v>
      </c>
      <c r="X42" s="32">
        <f>IF(SUM(E42:W42)&lt;G39,IF((G39-SUM(E42:W42))&lt;G39/C37,G39-SUM(E42:W42),G39/C37),0)</f>
        <v>0</v>
      </c>
    </row>
    <row r="43" spans="1:27" s="1" customFormat="1" ht="16.5" customHeight="1">
      <c r="A43" s="147"/>
      <c r="B43" s="22" t="s">
        <v>185</v>
      </c>
      <c r="C43" s="19"/>
      <c r="D43" s="20">
        <f t="shared" si="6"/>
        <v>0</v>
      </c>
      <c r="E43" s="23"/>
      <c r="F43" s="23"/>
      <c r="G43" s="23"/>
      <c r="H43" s="23">
        <f>I43*(1-H38/12)</f>
        <v>0</v>
      </c>
      <c r="I43" s="23">
        <f>H39/C37</f>
        <v>0</v>
      </c>
      <c r="J43" s="23">
        <f>IF(SUM(E43:I43)&lt;H39,IF((H39-SUM(E43:I43))&lt;H39/C37,H39-SUM(E43:I43),H39/C37),0)</f>
        <v>0</v>
      </c>
      <c r="K43" s="23">
        <f>IF(SUM(E43:J43)&lt;H39,IF((H39-SUM(E43:J43))&lt;H39/C37,H39-SUM(E43:J43),H39/C37),0)</f>
        <v>0</v>
      </c>
      <c r="L43" s="23">
        <f>IF(SUM(E43:K43)&lt;H39,IF((H39-SUM(E43:K43))&lt;H39/C37,H39-SUM(E43:K43),H39/C37),0)</f>
        <v>0</v>
      </c>
      <c r="M43" s="23">
        <f>IF(SUM(E43:L43)&lt;H39,IF((H39-SUM(E43:L43))&lt;H39/C37,H39-SUM(E43:L43),H39/C37),0)</f>
        <v>0</v>
      </c>
      <c r="N43" s="23">
        <f>IF(SUM(E43:M43)&lt;H39,IF((H39-SUM(E43:M43))&lt;H39/C37,H39-SUM(E43:M43),H39/C37),0)</f>
        <v>0</v>
      </c>
      <c r="O43" s="23">
        <f>IF(SUM(E43:N43)&lt;H39,IF((H39-SUM(E43:N43))&lt;H39/C37,H39-SUM(E43:N43),H39/C37),0)</f>
        <v>0</v>
      </c>
      <c r="P43" s="23">
        <f>IF(SUM(E43:O43)&lt;H39,IF((H39-SUM(E43:O43))&lt;H39/C37,H39-SUM(E43:O43),H39/C37),0)</f>
        <v>0</v>
      </c>
      <c r="Q43" s="23">
        <f>IF(SUM(E43:P43)&lt;H39,IF((H39-SUM(E43:P43))&lt;H39/C37,H39-SUM(E43:P43),H39/C37),0)</f>
        <v>0</v>
      </c>
      <c r="R43" s="23">
        <f>IF(SUM(E43:Q43)&lt;H39,IF((H39-SUM(E43:Q43))&lt;H39/C37,H39-SUM(E43:Q43),H39/C37),0)</f>
        <v>0</v>
      </c>
      <c r="S43" s="23">
        <f>IF(SUM(E43:R43)&lt;H39,IF((H39-SUM(E43:R43))&lt;H39/C37,H39-SUM(E43:R43),H39/C37),0)</f>
        <v>0</v>
      </c>
      <c r="T43" s="23">
        <f>IF(SUM(E43:S43)&lt;H39,IF((H39-SUM(E43:S43))&lt;H39/C37,H39-SUM(E43:S43),H39/C37),0)</f>
        <v>0</v>
      </c>
      <c r="U43" s="23">
        <f>IF(SUM(E43:T43)&lt;H39,IF((H39-SUM(E43:T43))&lt;H39/C37,H39-SUM(E43:T43),H39/C37),0)</f>
        <v>0</v>
      </c>
      <c r="V43" s="23">
        <f>IF(SUM(E43:U43)&lt;H39,IF((H39-SUM(E43:U43))&lt;H39/C37,H39-SUM(E43:U43),H39/C37),0)</f>
        <v>0</v>
      </c>
      <c r="W43" s="23">
        <f>IF(SUM(E43:V43)&lt;H39,IF((H39-SUM(E43:V43))&lt;H39/C37,H39-SUM(E43:V43),H39/C37),0)</f>
        <v>0</v>
      </c>
      <c r="X43" s="32">
        <f>IF(SUM(E43:W43)&lt;H39,IF((H39-SUM(E43:W43))&lt;H39/C37,H39-SUM(E43:W43),H39/C37),0)</f>
        <v>0</v>
      </c>
    </row>
    <row r="44" spans="1:27" s="1" customFormat="1" ht="16.5" customHeight="1">
      <c r="A44" s="147"/>
      <c r="B44" s="22" t="s">
        <v>186</v>
      </c>
      <c r="C44" s="19"/>
      <c r="D44" s="20">
        <f t="shared" si="6"/>
        <v>0</v>
      </c>
      <c r="E44" s="23"/>
      <c r="F44" s="23"/>
      <c r="G44" s="23"/>
      <c r="H44" s="23"/>
      <c r="I44" s="23">
        <f>J44*(1-I38/12)</f>
        <v>0</v>
      </c>
      <c r="J44" s="23">
        <f>I39/C37</f>
        <v>0</v>
      </c>
      <c r="K44" s="23">
        <f>IF(SUM(E44:J44)&lt;I39,IF((I39-SUM(E44:J44))&lt;I39/C37,I39-SUM(E44:J44),I39/C37),0)</f>
        <v>0</v>
      </c>
      <c r="L44" s="23">
        <f>IF(SUM(E44:K44)&lt;I39,IF((I39-SUM(E44:K44))&lt;I39/C37,I39-SUM(E44:K44),I39/C37),0)</f>
        <v>0</v>
      </c>
      <c r="M44" s="23">
        <f>IF(SUM(E44:L44)&lt;I39,IF((I39-SUM(E44:L44))&lt;I39/C37,I39-SUM(E44:L44),I39/C37),0)</f>
        <v>0</v>
      </c>
      <c r="N44" s="23">
        <f>IF(SUM(E44:M44)&lt;I39,IF((I39-SUM(E44:M44))&lt;I39/C37,I39-SUM(E44:M44),I39/C37),0)</f>
        <v>0</v>
      </c>
      <c r="O44" s="23">
        <f>IF(SUM(E44:N44)&lt;I39,IF((I39-SUM(E44:N44))&lt;I39/C37,I39-SUM(E44:N44),I39/C37),0)</f>
        <v>0</v>
      </c>
      <c r="P44" s="23">
        <f>IF(SUM(E44:O44)&lt;I39,IF((I39-SUM(E44:O44))&lt;I39/C37,I39-SUM(E44:O44),I39/C37),0)</f>
        <v>0</v>
      </c>
      <c r="Q44" s="23">
        <f>IF(SUM(E44:P44)&lt;I39,IF((I39-SUM(E44:P44))&lt;I39/C37,I39-SUM(E44:P44),I39/C37),0)</f>
        <v>0</v>
      </c>
      <c r="R44" s="23">
        <f>IF(SUM(E44:Q44)&lt;I39,IF((I39-SUM(E44:Q44))&lt;I39/C37,I39-SUM(E44:Q44),I39/C37),0)</f>
        <v>0</v>
      </c>
      <c r="S44" s="23">
        <f>IF(SUM(E44:R44)&lt;I39,IF((I39-SUM(E44:R44))&lt;I39/C37,I39-SUM(E44:R44),I39/C37),0)</f>
        <v>0</v>
      </c>
      <c r="T44" s="23">
        <f>IF(SUM(E44:S44)&lt;I39,IF((I39-SUM(E44:S44))&lt;I39/C37,I39-SUM(E44:S44),I39/C37),0)</f>
        <v>0</v>
      </c>
      <c r="U44" s="23">
        <f>IF(SUM(E44:T44)&lt;I39,IF((I39-SUM(E44:T44))&lt;I39/C37,I39-SUM(E44:T44),I39/C37),0)</f>
        <v>0</v>
      </c>
      <c r="V44" s="23">
        <f>IF(SUM(E44:U44)&lt;I39,IF((I39-SUM(E44:U44))&lt;I39/C37,I39-SUM(E44:U44),I39/C37),0)</f>
        <v>0</v>
      </c>
      <c r="W44" s="23">
        <f>IF(SUM(E44:V44)&lt;I39,IF((I39-SUM(E44:V44))&lt;I39/C37,I39-SUM(E44:V44),I39/C37),0)</f>
        <v>0</v>
      </c>
      <c r="X44" s="32">
        <f>IF(SUM(E44:W44)&lt;I39,IF((I39-SUM(E44:W44))&lt;I39/C37,I39-SUM(E44:W44),I39/C37),0)</f>
        <v>0</v>
      </c>
    </row>
    <row r="45" spans="1:27" s="1" customFormat="1" ht="16.5" customHeight="1">
      <c r="A45" s="147"/>
      <c r="B45" s="22" t="s">
        <v>187</v>
      </c>
      <c r="C45" s="19"/>
      <c r="D45" s="20">
        <f t="shared" si="6"/>
        <v>0</v>
      </c>
      <c r="E45" s="23"/>
      <c r="F45" s="23"/>
      <c r="G45" s="23"/>
      <c r="H45" s="23"/>
      <c r="I45" s="23"/>
      <c r="J45" s="23">
        <f>K45*(1-J38/12)</f>
        <v>0</v>
      </c>
      <c r="K45" s="23">
        <f>J39/C37</f>
        <v>0</v>
      </c>
      <c r="L45" s="23">
        <f>IF(SUM(E45:K45)&lt;J39,IF((J39-SUM(E45:K45))&lt;J39/C37,J39-SUM(E45:K45),J39/C37),0)</f>
        <v>0</v>
      </c>
      <c r="M45" s="23">
        <f>IF(SUM(E45:L45)&lt;J39,IF((J39-SUM(E45:L45))&lt;J39/C37,J39-SUM(E45:L45),J39/C37),0)</f>
        <v>0</v>
      </c>
      <c r="N45" s="23">
        <f>IF(SUM(E45:M45)&lt;J39,IF((J39-SUM(E45:M45))&lt;J39/C37,J39-SUM(E45:M45),J39/C37),0)</f>
        <v>0</v>
      </c>
      <c r="O45" s="23">
        <f>IF(SUM(E45:N45)&lt;J39,IF((J39-SUM(E45:N45))&lt;J39/C37,J39-SUM(E45:N45),J39/C37),0)</f>
        <v>0</v>
      </c>
      <c r="P45" s="23">
        <f>IF(SUM(E45:O45)&lt;J39,IF((J39-SUM(E45:O45))&lt;J39/C37,J39-SUM(E45:O45),J39/C37),0)</f>
        <v>0</v>
      </c>
      <c r="Q45" s="23">
        <f>IF(SUM(E45:P45)&lt;J39,IF((J39-SUM(E45:P45))&lt;J39/C37,J39-SUM(E45:P45),J39/C37),0)</f>
        <v>0</v>
      </c>
      <c r="R45" s="23">
        <f>IF(SUM(E45:Q45)&lt;J39,IF((J39-SUM(E45:Q45))&lt;J39/C37,J39-SUM(E45:Q45),J39/C37),0)</f>
        <v>0</v>
      </c>
      <c r="S45" s="23">
        <f>IF(SUM(E45:R45)&lt;J39,IF((J39-SUM(E45:R45))&lt;J39/C37,J39-SUM(E45:R45),J39/C37),0)</f>
        <v>0</v>
      </c>
      <c r="T45" s="23">
        <f>IF(SUM(E45:S45)&lt;J39,IF((J39-SUM(E45:S45))&lt;J39/C37,J39-SUM(E45:S45),J39/C37),0)</f>
        <v>0</v>
      </c>
      <c r="U45" s="23">
        <f>IF(SUM(E45:T45)&lt;J39,IF((J39-SUM(E45:T45))&lt;J39/C37,J39-SUM(E45:T45),J39/C37),0)</f>
        <v>0</v>
      </c>
      <c r="V45" s="23">
        <f>IF(SUM(E45:U45)&lt;J39,IF((J39-SUM(E45:U45))&lt;J39/C37,J39-SUM(E45:U45),J39/C37),0)</f>
        <v>0</v>
      </c>
      <c r="W45" s="23">
        <f>IF(SUM(E45:V45)&lt;J39,IF((J39-SUM(E45:V45))&lt;J39/C37,J39-SUM(E45:V45),J39/C37),0)</f>
        <v>0</v>
      </c>
      <c r="X45" s="32">
        <f>IF(SUM(E45:W45)&lt;J39,IF((J39-SUM(E45:W45))&lt;J39/C37,J39-SUM(E45:W45),J39/C37),0)</f>
        <v>0</v>
      </c>
    </row>
    <row r="46" spans="1:27" s="1" customFormat="1" ht="16.5" customHeight="1">
      <c r="A46" s="147"/>
      <c r="B46" s="22" t="s">
        <v>188</v>
      </c>
      <c r="C46" s="19"/>
      <c r="D46" s="20">
        <f t="shared" si="6"/>
        <v>0</v>
      </c>
      <c r="E46" s="23"/>
      <c r="F46" s="23"/>
      <c r="G46" s="23"/>
      <c r="H46" s="23"/>
      <c r="I46" s="23"/>
      <c r="J46" s="23"/>
      <c r="K46" s="23">
        <f>L46*(1-K38/12)</f>
        <v>0</v>
      </c>
      <c r="L46" s="23">
        <f>K39/C37</f>
        <v>0</v>
      </c>
      <c r="M46" s="23">
        <f>IF(SUM(E46:L46)&lt;K39,IF((K39-SUM(E46:L46))&lt;K39/C37,K39-SUM(E46:L46),K39/C37),0)</f>
        <v>0</v>
      </c>
      <c r="N46" s="23">
        <f>IF(SUM(E46:M46)&lt;K39,IF((K39-SUM(E46:M46))&lt;K39/C37,K39-SUM(E46:M46),K39/C37),0)</f>
        <v>0</v>
      </c>
      <c r="O46" s="23">
        <f>IF(SUM(E46:N46)&lt;K39,IF((K39-SUM(E46:N46))&lt;K39/C37,K39-SUM(E46:N46),K39/C37),0)</f>
        <v>0</v>
      </c>
      <c r="P46" s="23">
        <f>IF(SUM(E46:O46)&lt;K39,IF((K39-SUM(E46:O46))&lt;K39/C37,K39-SUM(E46:O46),K39/C37),0)</f>
        <v>0</v>
      </c>
      <c r="Q46" s="23">
        <f>IF(SUM(E46:P46)&lt;K39,IF((K39-SUM(E46:P46))&lt;K39/C37,K39-SUM(E46:P46),K39/C37),0)</f>
        <v>0</v>
      </c>
      <c r="R46" s="23">
        <f>IF(SUM(E46:Q46)&lt;K39,IF((K39-SUM(E46:Q46))&lt;K39/C37,K39-SUM(E46:Q46),K39/C37),0)</f>
        <v>0</v>
      </c>
      <c r="S46" s="23">
        <f>IF(SUM(E46:R46)&lt;K39,IF((K39-SUM(E46:R46))&lt;K39/C37,K39-SUM(E46:R46),K39/C37),0)</f>
        <v>0</v>
      </c>
      <c r="T46" s="23">
        <f>IF(SUM(E46:S46)&lt;K39,IF((K39-SUM(E46:S46))&lt;K39/C37,K39-SUM(E46:S46),K39/C37),0)</f>
        <v>0</v>
      </c>
      <c r="U46" s="23">
        <f>IF(SUM(E46:T46)&lt;K39,IF((K39-SUM(E46:T46))&lt;K39/C37,K39-SUM(E46:T46),K39/C37),0)</f>
        <v>0</v>
      </c>
      <c r="V46" s="23">
        <f>IF(SUM(E46:U46)&lt;K39,IF((K39-SUM(E46:U46))&lt;K39/C37,K39-SUM(E46:U46),K39/C37),0)</f>
        <v>0</v>
      </c>
      <c r="W46" s="23">
        <f>IF(SUM(E46:V46)&lt;K39,IF((K39-SUM(E46:V46))&lt;K39/C37,K39-SUM(E46:V46),K39/C37),0)</f>
        <v>0</v>
      </c>
      <c r="X46" s="32">
        <f>IF(SUM(E46:W46)&lt;K39,IF((K39-SUM(E46:W46))&lt;K39/C37,K39-SUM(E46:W46),K39/C37),0)</f>
        <v>0</v>
      </c>
    </row>
    <row r="47" spans="1:27" s="1" customFormat="1" ht="16.5" customHeight="1">
      <c r="A47" s="147"/>
      <c r="B47" s="22" t="s">
        <v>189</v>
      </c>
      <c r="C47" s="19"/>
      <c r="D47" s="20">
        <f t="shared" si="6"/>
        <v>0</v>
      </c>
      <c r="E47" s="23"/>
      <c r="F47" s="23"/>
      <c r="G47" s="23"/>
      <c r="H47" s="23"/>
      <c r="I47" s="23"/>
      <c r="J47" s="23"/>
      <c r="K47" s="23"/>
      <c r="L47" s="23">
        <f>M47*(1-L38/12)</f>
        <v>0</v>
      </c>
      <c r="M47" s="23">
        <f>L39/C37</f>
        <v>0</v>
      </c>
      <c r="N47" s="23">
        <f>IF(SUM(E47:M47)&lt;L39,IF((L39-SUM(E47:M47))&lt;L39/C37,L39-SUM(E47:M47),L39/C37),0)</f>
        <v>0</v>
      </c>
      <c r="O47" s="23">
        <f>IF(SUM(E47:N47)&lt;L39,IF((L39-SUM(E47:N47))&lt;L39/C37,L39-SUM(E47:N47),L39/C37),0)</f>
        <v>0</v>
      </c>
      <c r="P47" s="23">
        <f>IF(SUM(E47:O47)&lt;L39,IF((L39-SUM(E47:O47))&lt;L39/C37,L39-SUM(E47:O47),L39/C37),0)</f>
        <v>0</v>
      </c>
      <c r="Q47" s="23">
        <f>IF(SUM(E47:P47)&lt;L39,IF((L39-SUM(E47:P47))&lt;L39/C37,L39-SUM(E47:P47),L39/C37),0)</f>
        <v>0</v>
      </c>
      <c r="R47" s="23">
        <f>IF(SUM(E47:Q47)&lt;L39,IF((L39-SUM(E47:Q47))&lt;L39/C37,L39-SUM(E47:Q47),L39/C37),0)</f>
        <v>0</v>
      </c>
      <c r="S47" s="23">
        <f>IF(SUM(E47:R47)&lt;L39,IF((L39-SUM(E47:R47))&lt;L39/C37,L39-SUM(E47:R47),L39/C37),0)</f>
        <v>0</v>
      </c>
      <c r="T47" s="23">
        <f>IF(SUM(E47:S47)&lt;L39,IF((L39-SUM(E47:S47))&lt;L39/C37,L39-SUM(E47:S47),L39/C37),0)</f>
        <v>0</v>
      </c>
      <c r="U47" s="23">
        <f>IF(SUM(E47:T47)&lt;L39,IF((L39-SUM(E47:T47))&lt;L39/C37,L39-SUM(E47:T47),L39/C37),0)</f>
        <v>0</v>
      </c>
      <c r="V47" s="23">
        <f>IF(SUM(E47:U47)&lt;L39,IF((L39-SUM(E47:U47))&lt;L39/C37,L39-SUM(E47:U47),L39/C37),0)</f>
        <v>0</v>
      </c>
      <c r="W47" s="23">
        <f>IF(SUM(E47:V47)&lt;L39,IF((L39-SUM(E47:V47))&lt;L39/C37,L39-SUM(E47:V47),L39/C37),0)</f>
        <v>0</v>
      </c>
      <c r="X47" s="32">
        <f>IF(SUM(E47:W47)&lt;L39,IF((L39-SUM(E47:W47))&lt;L39/C37,L39-SUM(E47:W47),L39/C37),0)</f>
        <v>0</v>
      </c>
    </row>
    <row r="48" spans="1:27" s="1" customFormat="1" ht="16.5" customHeight="1">
      <c r="A48" s="147"/>
      <c r="B48" s="22" t="s">
        <v>190</v>
      </c>
      <c r="C48" s="19"/>
      <c r="D48" s="20">
        <f t="shared" si="6"/>
        <v>0</v>
      </c>
      <c r="E48" s="23"/>
      <c r="F48" s="23"/>
      <c r="G48" s="23"/>
      <c r="H48" s="23"/>
      <c r="I48" s="23"/>
      <c r="J48" s="23"/>
      <c r="K48" s="23"/>
      <c r="L48" s="23"/>
      <c r="M48" s="23">
        <f>N48*(1-M38/12)</f>
        <v>0</v>
      </c>
      <c r="N48" s="23">
        <f>M39/C37</f>
        <v>0</v>
      </c>
      <c r="O48" s="23">
        <f>IF(SUM(E48:N48)&lt;M39,IF((M39-SUM(E48:N48))&lt;M39/C37,M39-SUM(E48:N48),M39/C37),0)</f>
        <v>0</v>
      </c>
      <c r="P48" s="23">
        <f>IF(SUM(E48:O48)&lt;M39,IF((M39-SUM(E48:O48))&lt;M39/C37,M39-SUM(E48:O48),M39/C37),0)</f>
        <v>0</v>
      </c>
      <c r="Q48" s="23">
        <f>IF(SUM(E48:P48)&lt;M39,IF((M39-SUM(E48:P48))&lt;M39/C37,M39-SUM(E48:P48),M39/C37),0)</f>
        <v>0</v>
      </c>
      <c r="R48" s="23">
        <f>IF(SUM(E48:Q48)&lt;M39,IF((M39-SUM(E48:Q48))&lt;M39/C37,M39-SUM(E48:Q48),M39/C37),0)</f>
        <v>0</v>
      </c>
      <c r="S48" s="23">
        <f>IF(SUM(E48:R48)&lt;M39,IF((M39-SUM(E48:R48))&lt;M39/C37,M39-SUM(E48:R48),M39/C37),0)</f>
        <v>0</v>
      </c>
      <c r="T48" s="23">
        <f>IF(SUM(E48:S48)&lt;M39,IF((M39-SUM(E48:S48))&lt;M39/C37,M39-SUM(E48:S48),M39/C37),0)</f>
        <v>0</v>
      </c>
      <c r="U48" s="23">
        <f>IF(SUM(E48:T48)&lt;M39,IF((M39-SUM(E48:T48))&lt;M39/C37,M39-SUM(E48:T48),M39/C37),0)</f>
        <v>0</v>
      </c>
      <c r="V48" s="23">
        <f>IF(SUM(E48:U48)&lt;M39,IF((M39-SUM(E48:U48))&lt;M39/C37,M39-SUM(E48:U48),M39/C37),0)</f>
        <v>0</v>
      </c>
      <c r="W48" s="23">
        <f>IF(SUM(E48:V48)&lt;M39,IF((M39-SUM(E48:V48))&lt;M39/C37,M39-SUM(E48:V48),M39/C37),0)</f>
        <v>0</v>
      </c>
      <c r="X48" s="32">
        <f>IF(SUM(E48:W48)&lt;M39,IF((M39-SUM(E48:W48))&lt;M39/C37,M39-SUM(E48:W48),M39/C37),0)</f>
        <v>0</v>
      </c>
    </row>
    <row r="49" spans="1:24" s="1" customFormat="1" ht="16.5" customHeight="1">
      <c r="A49" s="147"/>
      <c r="B49" s="22" t="s">
        <v>191</v>
      </c>
      <c r="C49" s="19"/>
      <c r="D49" s="20">
        <f t="shared" si="6"/>
        <v>0</v>
      </c>
      <c r="E49" s="23"/>
      <c r="F49" s="23"/>
      <c r="G49" s="23"/>
      <c r="H49" s="23"/>
      <c r="I49" s="23"/>
      <c r="J49" s="23"/>
      <c r="K49" s="23"/>
      <c r="L49" s="23"/>
      <c r="M49" s="23"/>
      <c r="N49" s="23">
        <f>O49*(1-N38/12)</f>
        <v>0</v>
      </c>
      <c r="O49" s="23">
        <f>N39/C37</f>
        <v>0</v>
      </c>
      <c r="P49" s="23">
        <f>IF(SUM(E49:O49)&lt;N39,IF((N39-SUM(E49:O49))&lt;N39/C37,N39-SUM(E49:O49),N39/C37),0)</f>
        <v>0</v>
      </c>
      <c r="Q49" s="23">
        <f>IF(SUM(E49:P49)&lt;N39,IF((N39-SUM(E49:P49))&lt;N39/C37,N39-SUM(E49:P49),N39/C37),0)</f>
        <v>0</v>
      </c>
      <c r="R49" s="23">
        <f>IF(SUM(E49:Q49)&lt;N39,IF((N39-SUM(E49:Q49))&lt;N39/C37,N39-SUM(E49:Q49),N39/C37),0)</f>
        <v>0</v>
      </c>
      <c r="S49" s="23">
        <f>IF(SUM(E49:R49)&lt;N39,IF((N39-SUM(E49:R49))&lt;N39/C37,N39-SUM(E49:R49),N39/C37),0)</f>
        <v>0</v>
      </c>
      <c r="T49" s="23">
        <f>IF(SUM(E49:S49)&lt;N39,IF((N39-SUM(E49:S49))&lt;N39/C37,N39-SUM(E49:S49),N39/C37),0)</f>
        <v>0</v>
      </c>
      <c r="U49" s="23">
        <f>IF(SUM(E49:T49)&lt;N39,IF((N39-SUM(E49:T49))&lt;N39/C37,N39-SUM(E49:T49),N39/C37),0)</f>
        <v>0</v>
      </c>
      <c r="V49" s="23">
        <f>IF(SUM(E49:U49)&lt;N39,IF((N39-SUM(E49:U49))&lt;N39/C37,N39-SUM(E49:U49),N39/C37),0)</f>
        <v>0</v>
      </c>
      <c r="W49" s="23">
        <f>IF(SUM(E49:V49)&lt;N39,IF((N39-SUM(E49:V49))&lt;N39/C37,N39-SUM(E49:V49),N39/C37),0)</f>
        <v>0</v>
      </c>
      <c r="X49" s="32">
        <f>IF(SUM(E49:W49)&lt;N39,IF((N39-SUM(E49:W49))&lt;N39/C37,N39-SUM(E49:W49),N39/C37),0)</f>
        <v>0</v>
      </c>
    </row>
    <row r="50" spans="1:24" s="1" customFormat="1" ht="16.5" customHeight="1">
      <c r="A50" s="147"/>
      <c r="B50" s="22" t="s">
        <v>192</v>
      </c>
      <c r="C50" s="19"/>
      <c r="D50" s="20">
        <f t="shared" si="6"/>
        <v>0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>
        <f>P50*(1-O38/12)</f>
        <v>0</v>
      </c>
      <c r="P50" s="23">
        <f>O39/C37</f>
        <v>0</v>
      </c>
      <c r="Q50" s="23">
        <f>IF(SUM(E50:P50)&lt;O39,IF((O39-SUM(E50:P50))&lt;O39/C37,O39-SUM(E50:P50),O39/C37),0)</f>
        <v>0</v>
      </c>
      <c r="R50" s="23">
        <f>IF(SUM(E50:Q50)&lt;O39,IF((O39-SUM(E50:Q50))&lt;O39/C37,O39-SUM(E50:Q50),O39/C37),0)</f>
        <v>0</v>
      </c>
      <c r="S50" s="23">
        <f>IF(SUM(E50:R50)&lt;O39,IF((O39-SUM(E50:R50))&lt;O39/C37,O39-SUM(E50:R50),O39/C37),0)</f>
        <v>0</v>
      </c>
      <c r="T50" s="23">
        <f>IF(SUM(E50:S50)&lt;O39,IF((O39-SUM(E50:S50))&lt;O39/C37,O39-SUM(E50:S50),O39/C37),0)</f>
        <v>0</v>
      </c>
      <c r="U50" s="23">
        <f>IF(SUM(E50:T50)&lt;O39,IF((O39-SUM(E50:T50))&lt;O39/C37,O39-SUM(E50:T50),O39/C37),0)</f>
        <v>0</v>
      </c>
      <c r="V50" s="23">
        <f>IF(SUM(E50:U50)&lt;O39,IF((O39-SUM(E50:U50))&lt;O39/C37,O39-SUM(E50:U50),O39/C37),0)</f>
        <v>0</v>
      </c>
      <c r="W50" s="23">
        <f>IF(SUM(E50:V50)&lt;O39,IF((O39-SUM(E50:V50))&lt;O39/C37,O39-SUM(E50:V50),O39/C37),0)</f>
        <v>0</v>
      </c>
      <c r="X50" s="32">
        <f>IF(SUM(E50:W50)&lt;O39,IF((O39-SUM(E50:W50))&lt;O39/C37,O39-SUM(E50:W50),O39/C37),0)</f>
        <v>0</v>
      </c>
    </row>
    <row r="51" spans="1:24" s="1" customFormat="1" ht="16.5" customHeight="1">
      <c r="A51" s="147"/>
      <c r="B51" s="143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5"/>
    </row>
    <row r="52" spans="1:24" s="1" customFormat="1" ht="16.5" customHeight="1">
      <c r="A52" s="147"/>
      <c r="B52" s="9" t="s">
        <v>197</v>
      </c>
      <c r="C52" s="10"/>
      <c r="D52" s="11">
        <f>SUM(E52:X52)</f>
        <v>0</v>
      </c>
      <c r="E52" s="12">
        <f>SUM(E56:E66)</f>
        <v>0</v>
      </c>
      <c r="F52" s="12">
        <f t="shared" ref="F52:X52" si="7">SUM(F56:F66)</f>
        <v>0</v>
      </c>
      <c r="G52" s="12">
        <f t="shared" si="7"/>
        <v>0</v>
      </c>
      <c r="H52" s="12">
        <f t="shared" si="7"/>
        <v>0</v>
      </c>
      <c r="I52" s="12">
        <f t="shared" si="7"/>
        <v>0</v>
      </c>
      <c r="J52" s="12">
        <f t="shared" si="7"/>
        <v>0</v>
      </c>
      <c r="K52" s="12">
        <f t="shared" si="7"/>
        <v>0</v>
      </c>
      <c r="L52" s="12">
        <f t="shared" si="7"/>
        <v>0</v>
      </c>
      <c r="M52" s="12">
        <f t="shared" si="7"/>
        <v>0</v>
      </c>
      <c r="N52" s="12">
        <f t="shared" si="7"/>
        <v>0</v>
      </c>
      <c r="O52" s="12">
        <f t="shared" si="7"/>
        <v>0</v>
      </c>
      <c r="P52" s="12">
        <f t="shared" si="7"/>
        <v>0</v>
      </c>
      <c r="Q52" s="12">
        <f t="shared" si="7"/>
        <v>0</v>
      </c>
      <c r="R52" s="12">
        <f t="shared" si="7"/>
        <v>0</v>
      </c>
      <c r="S52" s="12">
        <f t="shared" si="7"/>
        <v>0</v>
      </c>
      <c r="T52" s="12">
        <f t="shared" si="7"/>
        <v>0</v>
      </c>
      <c r="U52" s="12">
        <f t="shared" si="7"/>
        <v>0</v>
      </c>
      <c r="V52" s="12">
        <f t="shared" si="7"/>
        <v>0</v>
      </c>
      <c r="W52" s="12">
        <f t="shared" si="7"/>
        <v>0</v>
      </c>
      <c r="X52" s="30">
        <f t="shared" si="7"/>
        <v>0</v>
      </c>
    </row>
    <row r="53" spans="1:24" s="1" customFormat="1" ht="16.5" customHeight="1">
      <c r="A53" s="147"/>
      <c r="B53" s="13" t="s">
        <v>198</v>
      </c>
      <c r="C53" s="14">
        <v>5</v>
      </c>
      <c r="D53" s="140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2"/>
    </row>
    <row r="54" spans="1:24" s="1" customFormat="1" ht="16.5" customHeight="1">
      <c r="A54" s="147"/>
      <c r="B54" s="13" t="s">
        <v>180</v>
      </c>
      <c r="C54" s="15"/>
      <c r="D54" s="16"/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26"/>
      <c r="Q54" s="26"/>
      <c r="R54" s="26"/>
      <c r="S54" s="26"/>
      <c r="T54" s="26"/>
      <c r="U54" s="26"/>
      <c r="V54" s="26"/>
      <c r="W54" s="26"/>
      <c r="X54" s="31"/>
    </row>
    <row r="55" spans="1:24" s="1" customFormat="1" ht="16.5" customHeight="1">
      <c r="A55" s="147"/>
      <c r="B55" s="18" t="s">
        <v>199</v>
      </c>
      <c r="C55" s="19"/>
      <c r="D55" s="20">
        <f>SUM(E55:O55)</f>
        <v>0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26"/>
      <c r="Q55" s="26"/>
      <c r="R55" s="26"/>
      <c r="S55" s="26"/>
      <c r="T55" s="26"/>
      <c r="U55" s="26"/>
      <c r="V55" s="26"/>
      <c r="W55" s="26"/>
      <c r="X55" s="31"/>
    </row>
    <row r="56" spans="1:24" s="1" customFormat="1" ht="16.5" customHeight="1">
      <c r="A56" s="147"/>
      <c r="B56" s="22" t="s">
        <v>182</v>
      </c>
      <c r="C56" s="19"/>
      <c r="D56" s="20">
        <f t="shared" ref="D56:D66" si="8">SUM(E56:X56)</f>
        <v>0</v>
      </c>
      <c r="E56" s="23">
        <f>F56*(1-E54/12)</f>
        <v>0</v>
      </c>
      <c r="F56" s="23">
        <f>E55/C53</f>
        <v>0</v>
      </c>
      <c r="G56" s="23">
        <f>IF(SUM(E56:F56)&lt;E55,IF((E55-SUM(E56:F56))&lt;E55/C53,E55-SUM(E56:F56),E55/C53),0)</f>
        <v>0</v>
      </c>
      <c r="H56" s="23">
        <f>IF(SUM(E56:G56)&lt;E55,IF((E55-SUM(E56:G56))&lt;E55/C53,E55-SUM(E56:G56),E55/C53),0)</f>
        <v>0</v>
      </c>
      <c r="I56" s="23">
        <f>IF(SUM(E56:H56)&lt;E55,IF((E55-SUM(E56:H56))&lt;E55/C53,E55-SUM(E56:H56),E55/C53),0)</f>
        <v>0</v>
      </c>
      <c r="J56" s="23">
        <f>IF(SUM(E56:I56)&lt;E55,IF((E55-SUM(E56:I56))&lt;E55/C53,E55-SUM(E56:I56),E55/C53),0)</f>
        <v>0</v>
      </c>
      <c r="K56" s="23">
        <f>IF(SUM(E56:J56)&lt;E55,IF((E55-SUM(E56:J56))&lt;E55/C53,E55-SUM(E56:J56),E55/C53),0)</f>
        <v>0</v>
      </c>
      <c r="L56" s="23">
        <f>IF(SUM(E56:K56)&lt;E55,IF((E55-SUM(E56:K56))&lt;E55/C53,E55-SUM(E56:K56),E55/C53),0)</f>
        <v>0</v>
      </c>
      <c r="M56" s="23">
        <f>IF(SUM(E56:L56)&lt;E55,IF((E55-SUM(E56:L56))&lt;E55/C53,E55-SUM(E56:L56),E55/C53),0)</f>
        <v>0</v>
      </c>
      <c r="N56" s="23">
        <f>IF(SUM(E56:M56)&lt;E55,IF((E55-SUM(E56:M56))&lt;E55/C53,E55-SUM(E56:M56),E55/C53),0)</f>
        <v>0</v>
      </c>
      <c r="O56" s="23">
        <f>IF(SUM(E56:N56)&lt;E55,IF((E55-SUM(E56:N56))&lt;E55/C53,E55-SUM(E56:N56),E55/C53),0)</f>
        <v>0</v>
      </c>
      <c r="P56" s="23">
        <f>IF(SUM(E56:O56)&lt;E55,IF((E55-SUM(E56:O56))&lt;E55/C53,E55-SUM(E56:O56),E55/C53),0)</f>
        <v>0</v>
      </c>
      <c r="Q56" s="23">
        <f>IF(SUM(E56:P56)&lt;E55,IF((E55-SUM(E56:P56))&lt;E55/C53,E55-SUM(E56:P56),E55/C53),0)</f>
        <v>0</v>
      </c>
      <c r="R56" s="23">
        <f>IF(SUM(E56:Q56)&lt;E55,IF((E55-SUM(E56:Q56))&lt;E55/C53,E55-SUM(E56:Q56),E55/C53),0)</f>
        <v>0</v>
      </c>
      <c r="S56" s="23">
        <f>IF(SUM(E56:R56)&lt;E55,IF((E55-SUM(E56:R56))&lt;E55/C53,E55-SUM(E56:R56),E55/C53),0)</f>
        <v>0</v>
      </c>
      <c r="T56" s="23">
        <f>IF(SUM(E56:S56)&lt;E55,IF((E55-SUM(E56:S56))&lt;E55/C53,E55-SUM(E56:S56),E55/C53),0)</f>
        <v>0</v>
      </c>
      <c r="U56" s="23">
        <f>IF(SUM(E56:T56)&lt;E55,IF((E55-SUM(E56:T56))&lt;E55/C53,E55-SUM(E56:T56),E55/C53),0)</f>
        <v>0</v>
      </c>
      <c r="V56" s="23">
        <f>IF(SUM(E56:U56)&lt;E55,IF((E55-SUM(E56:U56))&lt;E55/C53,E55-SUM(E56:U56),E55/C53),0)</f>
        <v>0</v>
      </c>
      <c r="W56" s="23">
        <f>IF(SUM(E56:V56)&lt;E55,IF((E55-SUM(E56:V56))&lt;E55/C53,E55-SUM(E56:V56),E55/C53),0)</f>
        <v>0</v>
      </c>
      <c r="X56" s="32">
        <f>IF(SUM(E56:W56)&lt;E55,IF((E55-SUM(E56:W56))&lt;E55/C53,E55-SUM(E56:W56),E55/C53),0)</f>
        <v>0</v>
      </c>
    </row>
    <row r="57" spans="1:24" s="1" customFormat="1" ht="16.5" customHeight="1">
      <c r="A57" s="147"/>
      <c r="B57" s="22" t="s">
        <v>183</v>
      </c>
      <c r="C57" s="19"/>
      <c r="D57" s="20">
        <f t="shared" si="8"/>
        <v>0</v>
      </c>
      <c r="E57" s="23"/>
      <c r="F57" s="23">
        <f>G57*(1-F54/12)</f>
        <v>0</v>
      </c>
      <c r="G57" s="23">
        <f>F55/C53</f>
        <v>0</v>
      </c>
      <c r="H57" s="23">
        <f>IF(SUM(E57:G57)&lt;F55,IF((F55-SUM(E57:G57))&lt;F55/C53,F55-SUM(E57:G57),F55/C53),0)</f>
        <v>0</v>
      </c>
      <c r="I57" s="23">
        <f>IF(SUM(E57:H57)&lt;F55,IF((F55-SUM(E57:H57))&lt;F55/C53,F55-SUM(E57:H57),F55/C53),0)</f>
        <v>0</v>
      </c>
      <c r="J57" s="23">
        <f>IF(SUM(E57:I57)&lt;F55,IF((F55-SUM(E57:I57))&lt;F55/C53,F55-SUM(E57:I57),F55/C53),0)</f>
        <v>0</v>
      </c>
      <c r="K57" s="23">
        <f>IF(SUM(E57:J57)&lt;F55,IF((F55-SUM(E57:J57))&lt;F55/C53,F55-SUM(E57:J57),F55/C53),0)</f>
        <v>0</v>
      </c>
      <c r="L57" s="23">
        <f>IF(SUM(E57:K57)&lt;F55,IF((F55-SUM(E57:K57))&lt;F55/C53,F55-SUM(E57:K57),F55/C53),0)</f>
        <v>0</v>
      </c>
      <c r="M57" s="23">
        <f>IF(SUM(E57:L57)&lt;F55,IF((F55-SUM(E57:L57))&lt;F55/C53,F55-SUM(E57:L57),F55/C53),0)</f>
        <v>0</v>
      </c>
      <c r="N57" s="23">
        <f>IF(SUM(E57:M57)&lt;F55,IF((F55-SUM(E57:M57))&lt;F55/C53,F55-SUM(E57:M57),F55/C53),0)</f>
        <v>0</v>
      </c>
      <c r="O57" s="23">
        <f>IF(SUM(E57:N57)&lt;F55,IF((F55-SUM(E57:N57))&lt;F55/C53,F55-SUM(E57:N57),F55/C53),0)</f>
        <v>0</v>
      </c>
      <c r="P57" s="23">
        <f>IF(SUM(E57:O57)&lt;F55,IF((F55-SUM(E57:O57))&lt;F55/C53,F55-SUM(E57:O57),F55/C53),0)</f>
        <v>0</v>
      </c>
      <c r="Q57" s="23">
        <f>IF(SUM(E57:P57)&lt;F55,IF((F55-SUM(E57:P57))&lt;F55/C53,F55-SUM(E57:P57),F55/C53),0)</f>
        <v>0</v>
      </c>
      <c r="R57" s="23">
        <f>IF(SUM(E57:Q57)&lt;F55,IF((F55-SUM(E57:Q57))&lt;F55/C53,F55-SUM(E57:Q57),F55/C53),0)</f>
        <v>0</v>
      </c>
      <c r="S57" s="23">
        <f>IF(SUM(E57:R57)&lt;F55,IF((F55-SUM(E57:R57))&lt;F55/C53,F55-SUM(E57:R57),F55/C53),0)</f>
        <v>0</v>
      </c>
      <c r="T57" s="23">
        <f>IF(SUM(E57:S57)&lt;F55,IF((F55-SUM(E57:S57))&lt;F55/C53,F55-SUM(E57:S57),F55/C53),0)</f>
        <v>0</v>
      </c>
      <c r="U57" s="23">
        <f>IF(SUM(E57:T57)&lt;F55,IF((F55-SUM(E57:T57))&lt;F55/C53,F55-SUM(E57:T57),F55/C53),0)</f>
        <v>0</v>
      </c>
      <c r="V57" s="23">
        <f>IF(SUM(E57:U57)&lt;F55,IF((F55-SUM(E57:U57))&lt;F55/C53,F55-SUM(E57:U57),F55/C53),0)</f>
        <v>0</v>
      </c>
      <c r="W57" s="23">
        <f>IF(SUM(E57:V57)&lt;F55,IF((F55-SUM(E57:V57))&lt;F55/C53,F55-SUM(E57:V57),F55/C53),0)</f>
        <v>0</v>
      </c>
      <c r="X57" s="32">
        <f>IF(SUM(E57:W57)&lt;F55,IF((F55-SUM(E57:W57))&lt;F55/C53,F55-SUM(E57:W57),F55/C53),0)</f>
        <v>0</v>
      </c>
    </row>
    <row r="58" spans="1:24" s="1" customFormat="1" ht="16.5" customHeight="1">
      <c r="A58" s="147"/>
      <c r="B58" s="22" t="s">
        <v>184</v>
      </c>
      <c r="C58" s="19"/>
      <c r="D58" s="20">
        <f t="shared" si="8"/>
        <v>0</v>
      </c>
      <c r="E58" s="23"/>
      <c r="F58" s="23"/>
      <c r="G58" s="23">
        <f>H58*(1-G54/12)</f>
        <v>0</v>
      </c>
      <c r="H58" s="23">
        <f>G55/C53</f>
        <v>0</v>
      </c>
      <c r="I58" s="23">
        <f>IF(SUM(E58:H58)&lt;G55,IF((G55-SUM(E58:H58))&lt;G55/C53,G55-SUM(E58:H58),G55/C53),0)</f>
        <v>0</v>
      </c>
      <c r="J58" s="23">
        <f>IF(SUM(E58:I58)&lt;G55,IF((G55-SUM(E58:I58))&lt;G55/C53,G55-SUM(E58:I58),G55/C53),0)</f>
        <v>0</v>
      </c>
      <c r="K58" s="23">
        <f>IF(SUM(E58:J58)&lt;G55,IF((G55-SUM(E58:J58))&lt;G55/C53,G55-SUM(E58:J58),G55/C53),0)</f>
        <v>0</v>
      </c>
      <c r="L58" s="23">
        <f>IF(SUM(E58:K58)&lt;G55,IF((G55-SUM(E58:K58))&lt;G55/C53,G55-SUM(E58:K58),G55/C53),0)</f>
        <v>0</v>
      </c>
      <c r="M58" s="23">
        <f>IF(SUM(E58:L58)&lt;G55,IF((G55-SUM(E58:L58))&lt;G55/C53,G55-SUM(E58:L58),G55/C53),0)</f>
        <v>0</v>
      </c>
      <c r="N58" s="23">
        <f>IF(SUM(E58:M58)&lt;G55,IF((G55-SUM(E58:M58))&lt;G55/C53,G55-SUM(E58:M58),G55/C53),0)</f>
        <v>0</v>
      </c>
      <c r="O58" s="23">
        <f>IF(SUM(E58:N58)&lt;G55,IF((G55-SUM(E58:N58))&lt;G55/C53,G55-SUM(E58:N58),G55/C53),0)</f>
        <v>0</v>
      </c>
      <c r="P58" s="23">
        <f>IF(SUM(E58:O58)&lt;G55,IF((G55-SUM(E58:O58))&lt;G55/C53,G55-SUM(E58:O58),G55/C53),0)</f>
        <v>0</v>
      </c>
      <c r="Q58" s="23">
        <f>IF(SUM(E58:P58)&lt;G55,IF((G55-SUM(E58:P58))&lt;G55/C53,G55-SUM(E58:P58),G55/C53),0)</f>
        <v>0</v>
      </c>
      <c r="R58" s="23">
        <f>IF(SUM(E58:Q58)&lt;G55,IF((G55-SUM(E58:Q58))&lt;G55/C53,G55-SUM(E58:Q58),G55/C53),0)</f>
        <v>0</v>
      </c>
      <c r="S58" s="23">
        <f>IF(SUM(E58:R58)&lt;G55,IF((G55-SUM(E58:R58))&lt;G55/C53,G55-SUM(E58:R58),G55/C53),0)</f>
        <v>0</v>
      </c>
      <c r="T58" s="23">
        <f>IF(SUM(E58:S58)&lt;G55,IF((G55-SUM(E58:S58))&lt;G55/C53,G55-SUM(E58:S58),G55/C53),0)</f>
        <v>0</v>
      </c>
      <c r="U58" s="23">
        <f>IF(SUM(E58:T58)&lt;G55,IF((G55-SUM(E58:T58))&lt;G55/C53,G55-SUM(E58:T58),G55/C53),0)</f>
        <v>0</v>
      </c>
      <c r="V58" s="23">
        <f>IF(SUM(E58:U58)&lt;G55,IF((G55-SUM(E58:U58))&lt;G55/C53,G55-SUM(E58:U58),G55/C53),0)</f>
        <v>0</v>
      </c>
      <c r="W58" s="23">
        <f>IF(SUM(E58:V58)&lt;G55,IF((G55-SUM(E58:V58))&lt;G55/C53,G55-SUM(E58:V58),G55/C53),0)</f>
        <v>0</v>
      </c>
      <c r="X58" s="32">
        <f>IF(SUM(E58:W58)&lt;G55,IF((G55-SUM(E58:W58))&lt;G55/C53,G55-SUM(E58:W58),G55/C53),0)</f>
        <v>0</v>
      </c>
    </row>
    <row r="59" spans="1:24" s="1" customFormat="1" ht="16.5" customHeight="1">
      <c r="A59" s="147"/>
      <c r="B59" s="22" t="s">
        <v>185</v>
      </c>
      <c r="C59" s="19"/>
      <c r="D59" s="20">
        <f t="shared" si="8"/>
        <v>0</v>
      </c>
      <c r="E59" s="23"/>
      <c r="F59" s="23"/>
      <c r="G59" s="23"/>
      <c r="H59" s="23">
        <f>I59*(1-H54/12)</f>
        <v>0</v>
      </c>
      <c r="I59" s="23">
        <f>H55/C53</f>
        <v>0</v>
      </c>
      <c r="J59" s="23">
        <f>IF(SUM(E59:I59)&lt;H55,IF((H55-SUM(E59:I59))&lt;H55/C53,H55-SUM(E59:I59),H55/C53),0)</f>
        <v>0</v>
      </c>
      <c r="K59" s="23">
        <f>IF(SUM(E59:J59)&lt;H55,IF((H55-SUM(E59:J59))&lt;H55/C53,H55-SUM(E59:J59),H55/C53),0)</f>
        <v>0</v>
      </c>
      <c r="L59" s="23">
        <f>IF(SUM(E59:K59)&lt;H55,IF((H55-SUM(E59:K59))&lt;H55/C53,H55-SUM(E59:K59),H55/C53),0)</f>
        <v>0</v>
      </c>
      <c r="M59" s="23">
        <f>IF(SUM(E59:L59)&lt;H55,IF((H55-SUM(E59:L59))&lt;H55/C53,H55-SUM(E59:L59),H55/C53),0)</f>
        <v>0</v>
      </c>
      <c r="N59" s="23">
        <f>IF(SUM(E59:M59)&lt;H55,IF((H55-SUM(E59:M59))&lt;H55/C53,H55-SUM(E59:M59),H55/C53),0)</f>
        <v>0</v>
      </c>
      <c r="O59" s="23">
        <f>IF(SUM(E59:N59)&lt;H55,IF((H55-SUM(E59:N59))&lt;H55/C53,H55-SUM(E59:N59),H55/C53),0)</f>
        <v>0</v>
      </c>
      <c r="P59" s="23">
        <f>IF(SUM(E59:O59)&lt;H55,IF((H55-SUM(E59:O59))&lt;H55/C53,H55-SUM(E59:O59),H55/C53),0)</f>
        <v>0</v>
      </c>
      <c r="Q59" s="23">
        <f>IF(SUM(E59:P59)&lt;H55,IF((H55-SUM(E59:P59))&lt;H55/C53,H55-SUM(E59:P59),H55/C53),0)</f>
        <v>0</v>
      </c>
      <c r="R59" s="23">
        <f>IF(SUM(E59:Q59)&lt;H55,IF((H55-SUM(E59:Q59))&lt;H55/C53,H55-SUM(E59:Q59),H55/C53),0)</f>
        <v>0</v>
      </c>
      <c r="S59" s="23">
        <f>IF(SUM(E59:R59)&lt;H55,IF((H55-SUM(E59:R59))&lt;H55/C53,H55-SUM(E59:R59),H55/C53),0)</f>
        <v>0</v>
      </c>
      <c r="T59" s="23">
        <f>IF(SUM(E59:S59)&lt;H55,IF((H55-SUM(E59:S59))&lt;H55/C53,H55-SUM(E59:S59),H55/C53),0)</f>
        <v>0</v>
      </c>
      <c r="U59" s="23">
        <f>IF(SUM(E59:T59)&lt;H55,IF((H55-SUM(E59:T59))&lt;H55/C53,H55-SUM(E59:T59),H55/C53),0)</f>
        <v>0</v>
      </c>
      <c r="V59" s="23">
        <f>IF(SUM(E59:U59)&lt;H55,IF((H55-SUM(E59:U59))&lt;H55/C53,H55-SUM(E59:U59),H55/C53),0)</f>
        <v>0</v>
      </c>
      <c r="W59" s="23">
        <f>IF(SUM(E59:V59)&lt;H55,IF((H55-SUM(E59:V59))&lt;H55/C53,H55-SUM(E59:V59),H55/C53),0)</f>
        <v>0</v>
      </c>
      <c r="X59" s="32">
        <f>IF(SUM(E59:W59)&lt;H55,IF((H55-SUM(E59:W59))&lt;H55/C53,H55-SUM(E59:W59),H55/C53),0)</f>
        <v>0</v>
      </c>
    </row>
    <row r="60" spans="1:24" s="1" customFormat="1" ht="16.5" customHeight="1">
      <c r="A60" s="147"/>
      <c r="B60" s="22" t="s">
        <v>186</v>
      </c>
      <c r="C60" s="19"/>
      <c r="D60" s="20">
        <f t="shared" si="8"/>
        <v>0</v>
      </c>
      <c r="E60" s="23"/>
      <c r="F60" s="23"/>
      <c r="G60" s="23"/>
      <c r="H60" s="23"/>
      <c r="I60" s="23">
        <f>J60*(1-I54/12)</f>
        <v>0</v>
      </c>
      <c r="J60" s="23">
        <f>I55/C53</f>
        <v>0</v>
      </c>
      <c r="K60" s="23">
        <f>IF(SUM(E60:J60)&lt;I55,IF((I55-SUM(E60:J60))&lt;I55/C53,I55-SUM(E60:J60),I55/C53),0)</f>
        <v>0</v>
      </c>
      <c r="L60" s="23">
        <f>IF(SUM(E60:K60)&lt;I55,IF((I55-SUM(E60:K60))&lt;I55/C53,I55-SUM(E60:K60),I55/C53),0)</f>
        <v>0</v>
      </c>
      <c r="M60" s="23">
        <f>IF(SUM(E60:L60)&lt;I55,IF((I55-SUM(E60:L60))&lt;I55/C53,I55-SUM(E60:L60),I55/C53),0)</f>
        <v>0</v>
      </c>
      <c r="N60" s="23">
        <f>IF(SUM(E60:M60)&lt;I55,IF((I55-SUM(E60:M60))&lt;I55/C53,I55-SUM(E60:M60),I55/C53),0)</f>
        <v>0</v>
      </c>
      <c r="O60" s="23">
        <f>IF(SUM(E60:N60)&lt;I55,IF((I55-SUM(E60:N60))&lt;I55/C53,I55-SUM(E60:N60),I55/C53),0)</f>
        <v>0</v>
      </c>
      <c r="P60" s="23">
        <f>IF(SUM(E60:O60)&lt;I55,IF((I55-SUM(E60:O60))&lt;I55/C53,I55-SUM(E60:O60),I55/C53),0)</f>
        <v>0</v>
      </c>
      <c r="Q60" s="23">
        <f>IF(SUM(E60:P60)&lt;I55,IF((I55-SUM(E60:P60))&lt;I55/C53,I55-SUM(E60:P60),I55/C53),0)</f>
        <v>0</v>
      </c>
      <c r="R60" s="23">
        <f>IF(SUM(E60:Q60)&lt;I55,IF((I55-SUM(E60:Q60))&lt;I55/C53,I55-SUM(E60:Q60),I55/C53),0)</f>
        <v>0</v>
      </c>
      <c r="S60" s="23">
        <f>IF(SUM(E60:R60)&lt;I55,IF((I55-SUM(E60:R60))&lt;I55/C53,I55-SUM(E60:R60),I55/C53),0)</f>
        <v>0</v>
      </c>
      <c r="T60" s="23">
        <f>IF(SUM(E60:S60)&lt;I55,IF((I55-SUM(E60:S60))&lt;I55/C53,I55-SUM(E60:S60),I55/C53),0)</f>
        <v>0</v>
      </c>
      <c r="U60" s="23">
        <f>IF(SUM(E60:T60)&lt;I55,IF((I55-SUM(E60:T60))&lt;I55/C53,I55-SUM(E60:T60),I55/C53),0)</f>
        <v>0</v>
      </c>
      <c r="V60" s="23">
        <f>IF(SUM(E60:U60)&lt;I55,IF((I55-SUM(E60:U60))&lt;I55/C53,I55-SUM(E60:U60),I55/C53),0)</f>
        <v>0</v>
      </c>
      <c r="W60" s="23">
        <f>IF(SUM(E60:V60)&lt;I55,IF((I55-SUM(E60:V60))&lt;I55/C53,I55-SUM(E60:V60),I55/C53),0)</f>
        <v>0</v>
      </c>
      <c r="X60" s="32">
        <f>IF(SUM(E60:W60)&lt;I55,IF((I55-SUM(E60:W60))&lt;I55/C53,I55-SUM(E60:W60),I55/C53),0)</f>
        <v>0</v>
      </c>
    </row>
    <row r="61" spans="1:24" s="1" customFormat="1" ht="16.5" customHeight="1">
      <c r="A61" s="147"/>
      <c r="B61" s="22" t="s">
        <v>187</v>
      </c>
      <c r="C61" s="19"/>
      <c r="D61" s="20">
        <f t="shared" si="8"/>
        <v>0</v>
      </c>
      <c r="E61" s="23"/>
      <c r="F61" s="23"/>
      <c r="G61" s="23"/>
      <c r="H61" s="23"/>
      <c r="I61" s="23"/>
      <c r="J61" s="23">
        <f>K61*(1-J54/12)</f>
        <v>0</v>
      </c>
      <c r="K61" s="23">
        <f>J55/C53</f>
        <v>0</v>
      </c>
      <c r="L61" s="23">
        <f>IF(SUM(E61:K61)&lt;J55,IF((J55-SUM(E61:K61))&lt;J55/C53,J55-SUM(E61:K61),J55/C53),0)</f>
        <v>0</v>
      </c>
      <c r="M61" s="23">
        <f>IF(SUM(E61:L61)&lt;J55,IF((J55-SUM(E61:L61))&lt;J55/C53,J55-SUM(E61:L61),J55/C53),0)</f>
        <v>0</v>
      </c>
      <c r="N61" s="23">
        <f>IF(SUM(E61:M61)&lt;J55,IF((J55-SUM(E61:M61))&lt;J55/C53,J55-SUM(E61:M61),J55/C53),0)</f>
        <v>0</v>
      </c>
      <c r="O61" s="23">
        <f>IF(SUM(E61:N61)&lt;J55,IF((J55-SUM(E61:N61))&lt;J55/C53,J55-SUM(E61:N61),J55/C53),0)</f>
        <v>0</v>
      </c>
      <c r="P61" s="23">
        <f>IF(SUM(E61:O61)&lt;J55,IF((J55-SUM(E61:O61))&lt;J55/C53,J55-SUM(E61:O61),J55/C53),0)</f>
        <v>0</v>
      </c>
      <c r="Q61" s="23">
        <f>IF(SUM(E61:P61)&lt;J55,IF((J55-SUM(E61:P61))&lt;J55/C53,J55-SUM(E61:P61),J55/C53),0)</f>
        <v>0</v>
      </c>
      <c r="R61" s="23">
        <f>IF(SUM(E61:Q61)&lt;J55,IF((J55-SUM(E61:Q61))&lt;J55/C53,J55-SUM(E61:Q61),J55/C53),0)</f>
        <v>0</v>
      </c>
      <c r="S61" s="23">
        <f>IF(SUM(E61:R61)&lt;J55,IF((J55-SUM(E61:R61))&lt;J55/C53,J55-SUM(E61:R61),J55/C53),0)</f>
        <v>0</v>
      </c>
      <c r="T61" s="23">
        <f>IF(SUM(E61:S61)&lt;J55,IF((J55-SUM(E61:S61))&lt;J55/C53,J55-SUM(E61:S61),J55/C53),0)</f>
        <v>0</v>
      </c>
      <c r="U61" s="23">
        <f>IF(SUM(E61:T61)&lt;J55,IF((J55-SUM(E61:T61))&lt;J55/C53,J55-SUM(E61:T61),J55/C53),0)</f>
        <v>0</v>
      </c>
      <c r="V61" s="23">
        <f>IF(SUM(E61:U61)&lt;J55,IF((J55-SUM(E61:U61))&lt;J55/C53,J55-SUM(E61:U61),J55/C53),0)</f>
        <v>0</v>
      </c>
      <c r="W61" s="23">
        <f>IF(SUM(E61:V61)&lt;J55,IF((J55-SUM(E61:V61))&lt;J55/C53,J55-SUM(E61:V61),J55/C53),0)</f>
        <v>0</v>
      </c>
      <c r="X61" s="32">
        <f>IF(SUM(E61:W61)&lt;J55,IF((J55-SUM(E61:W61))&lt;J55/C53,J55-SUM(E61:W61),J55/C53),0)</f>
        <v>0</v>
      </c>
    </row>
    <row r="62" spans="1:24" s="1" customFormat="1" ht="16.5" customHeight="1">
      <c r="A62" s="147"/>
      <c r="B62" s="22" t="s">
        <v>188</v>
      </c>
      <c r="C62" s="19"/>
      <c r="D62" s="20">
        <f t="shared" si="8"/>
        <v>0</v>
      </c>
      <c r="E62" s="23"/>
      <c r="F62" s="23"/>
      <c r="G62" s="23"/>
      <c r="H62" s="23"/>
      <c r="I62" s="23"/>
      <c r="J62" s="23"/>
      <c r="K62" s="23">
        <f>L62*(1-K54/12)</f>
        <v>0</v>
      </c>
      <c r="L62" s="23">
        <f>K55/C53</f>
        <v>0</v>
      </c>
      <c r="M62" s="23">
        <f>IF(SUM(E62:L62)&lt;K55,IF((K55-SUM(E62:L62))&lt;K55/C53,K55-SUM(E62:L62),K55/C53),0)</f>
        <v>0</v>
      </c>
      <c r="N62" s="23">
        <f>IF(SUM(E62:M62)&lt;K55,IF((K55-SUM(E62:M62))&lt;K55/C53,K55-SUM(E62:M62),K55/C53),0)</f>
        <v>0</v>
      </c>
      <c r="O62" s="23">
        <f>IF(SUM(E62:N62)&lt;K55,IF((K55-SUM(E62:N62))&lt;K55/C53,K55-SUM(E62:N62),K55/C53),0)</f>
        <v>0</v>
      </c>
      <c r="P62" s="23">
        <f>IF(SUM(E62:O62)&lt;K55,IF((K55-SUM(E62:O62))&lt;K55/C53,K55-SUM(E62:O62),K55/C53),0)</f>
        <v>0</v>
      </c>
      <c r="Q62" s="23">
        <f>IF(SUM(E62:P62)&lt;K55,IF((K55-SUM(E62:P62))&lt;K55/C53,K55-SUM(E62:P62),K55/C53),0)</f>
        <v>0</v>
      </c>
      <c r="R62" s="23">
        <f>IF(SUM(E62:Q62)&lt;K55,IF((K55-SUM(E62:Q62))&lt;K55/C53,K55-SUM(E62:Q62),K55/C53),0)</f>
        <v>0</v>
      </c>
      <c r="S62" s="23">
        <f>IF(SUM(E62:R62)&lt;K55,IF((K55-SUM(E62:R62))&lt;K55/C53,K55-SUM(E62:R62),K55/C53),0)</f>
        <v>0</v>
      </c>
      <c r="T62" s="23">
        <f>IF(SUM(E62:S62)&lt;K55,IF((K55-SUM(E62:S62))&lt;K55/C53,K55-SUM(E62:S62),K55/C53),0)</f>
        <v>0</v>
      </c>
      <c r="U62" s="23">
        <f>IF(SUM(E62:T62)&lt;K55,IF((K55-SUM(E62:T62))&lt;K55/C53,K55-SUM(E62:T62),K55/C53),0)</f>
        <v>0</v>
      </c>
      <c r="V62" s="23">
        <f>IF(SUM(E62:U62)&lt;K55,IF((K55-SUM(E62:U62))&lt;K55/C53,K55-SUM(E62:U62),K55/C53),0)</f>
        <v>0</v>
      </c>
      <c r="W62" s="23">
        <f>IF(SUM(E62:V62)&lt;K55,IF((K55-SUM(E62:V62))&lt;K55/C53,K55-SUM(E62:V62),K55/C53),0)</f>
        <v>0</v>
      </c>
      <c r="X62" s="32">
        <f>IF(SUM(E62:W62)&lt;K55,IF((K55-SUM(E62:W62))&lt;K55/C53,K55-SUM(E62:W62),K55/C53),0)</f>
        <v>0</v>
      </c>
    </row>
    <row r="63" spans="1:24" s="1" customFormat="1" ht="16.5" customHeight="1">
      <c r="A63" s="147"/>
      <c r="B63" s="22" t="s">
        <v>189</v>
      </c>
      <c r="C63" s="19"/>
      <c r="D63" s="20">
        <f t="shared" si="8"/>
        <v>0</v>
      </c>
      <c r="E63" s="23"/>
      <c r="F63" s="23"/>
      <c r="G63" s="23"/>
      <c r="H63" s="23"/>
      <c r="I63" s="23"/>
      <c r="J63" s="23"/>
      <c r="K63" s="23"/>
      <c r="L63" s="23">
        <f>M63*(1-L54/12)</f>
        <v>0</v>
      </c>
      <c r="M63" s="23">
        <f>L55/C53</f>
        <v>0</v>
      </c>
      <c r="N63" s="23">
        <f>IF(SUM(E63:M63)&lt;L55,IF((L55-SUM(E63:M63))&lt;L55/C53,L55-SUM(E63:M63),L55/C53),0)</f>
        <v>0</v>
      </c>
      <c r="O63" s="23">
        <f>IF(SUM(E63:N63)&lt;L55,IF((L55-SUM(E63:N63))&lt;L55/C53,L55-SUM(E63:N63),L55/C53),0)</f>
        <v>0</v>
      </c>
      <c r="P63" s="23">
        <f>IF(SUM(E63:O63)&lt;L55,IF((L55-SUM(E63:O63))&lt;L55/C53,L55-SUM(E63:O63),L55/C53),0)</f>
        <v>0</v>
      </c>
      <c r="Q63" s="23">
        <f>IF(SUM(E63:P63)&lt;L55,IF((L55-SUM(E63:P63))&lt;L55/C53,L55-SUM(E63:P63),L55/C53),0)</f>
        <v>0</v>
      </c>
      <c r="R63" s="23">
        <f>IF(SUM(E63:Q63)&lt;L55,IF((L55-SUM(E63:Q63))&lt;L55/C53,L55-SUM(E63:Q63),L55/C53),0)</f>
        <v>0</v>
      </c>
      <c r="S63" s="23">
        <f>IF(SUM(E63:R63)&lt;L55,IF((L55-SUM(E63:R63))&lt;L55/C53,L55-SUM(E63:R63),L55/C53),0)</f>
        <v>0</v>
      </c>
      <c r="T63" s="23">
        <f>IF(SUM(E63:S63)&lt;L55,IF((L55-SUM(E63:S63))&lt;L55/C53,L55-SUM(E63:S63),L55/C53),0)</f>
        <v>0</v>
      </c>
      <c r="U63" s="23">
        <f>IF(SUM(E63:T63)&lt;L55,IF((L55-SUM(E63:T63))&lt;L55/C53,L55-SUM(E63:T63),L55/C53),0)</f>
        <v>0</v>
      </c>
      <c r="V63" s="23">
        <f>IF(SUM(E63:U63)&lt;L55,IF((L55-SUM(E63:U63))&lt;L55/C53,L55-SUM(E63:U63),L55/C53),0)</f>
        <v>0</v>
      </c>
      <c r="W63" s="23">
        <f>IF(SUM(E63:V63)&lt;L55,IF((L55-SUM(E63:V63))&lt;L55/C53,L55-SUM(E63:V63),L55/C53),0)</f>
        <v>0</v>
      </c>
      <c r="X63" s="32">
        <f>IF(SUM(E63:W63)&lt;L55,IF((L55-SUM(E63:W63))&lt;L55/C53,L55-SUM(E63:W63),L55/C53),0)</f>
        <v>0</v>
      </c>
    </row>
    <row r="64" spans="1:24" s="1" customFormat="1" ht="16.5" customHeight="1">
      <c r="A64" s="147"/>
      <c r="B64" s="22" t="s">
        <v>190</v>
      </c>
      <c r="C64" s="19"/>
      <c r="D64" s="20">
        <f t="shared" si="8"/>
        <v>0</v>
      </c>
      <c r="E64" s="23"/>
      <c r="F64" s="23"/>
      <c r="G64" s="23"/>
      <c r="H64" s="23"/>
      <c r="I64" s="23"/>
      <c r="J64" s="23"/>
      <c r="K64" s="23"/>
      <c r="L64" s="23"/>
      <c r="M64" s="23">
        <f>N64*(1-M54/12)</f>
        <v>0</v>
      </c>
      <c r="N64" s="23">
        <f>M55/C53</f>
        <v>0</v>
      </c>
      <c r="O64" s="23">
        <f>IF(SUM(E64:N64)&lt;M55,IF((M55-SUM(E64:N64))&lt;M55/C53,M55-SUM(E64:N64),M55/C53),0)</f>
        <v>0</v>
      </c>
      <c r="P64" s="23">
        <f>IF(SUM(E64:O64)&lt;M55,IF((M55-SUM(E64:O64))&lt;M55/C53,M55-SUM(E64:O64),M55/C53),0)</f>
        <v>0</v>
      </c>
      <c r="Q64" s="23">
        <f>IF(SUM(E64:P64)&lt;M55,IF((M55-SUM(E64:P64))&lt;M55/C53,M55-SUM(E64:P64),M55/C53),0)</f>
        <v>0</v>
      </c>
      <c r="R64" s="23">
        <f>IF(SUM(E64:Q64)&lt;M55,IF((M55-SUM(E64:Q64))&lt;M55/C53,M55-SUM(E64:Q64),M55/C53),0)</f>
        <v>0</v>
      </c>
      <c r="S64" s="23">
        <f>IF(SUM(E64:R64)&lt;M55,IF((M55-SUM(E64:R64))&lt;M55/C53,M55-SUM(E64:R64),M55/C53),0)</f>
        <v>0</v>
      </c>
      <c r="T64" s="23">
        <f>IF(SUM(E64:S64)&lt;M55,IF((M55-SUM(E64:S64))&lt;M55/C53,M55-SUM(E64:S64),M55/C53),0)</f>
        <v>0</v>
      </c>
      <c r="U64" s="23">
        <f>IF(SUM(E64:T64)&lt;M55,IF((M55-SUM(E64:T64))&lt;M55/C53,M55-SUM(E64:T64),M55/C53),0)</f>
        <v>0</v>
      </c>
      <c r="V64" s="23">
        <f>IF(SUM(E64:U64)&lt;M55,IF((M55-SUM(E64:U64))&lt;M55/C53,M55-SUM(E64:U64),M55/C53),0)</f>
        <v>0</v>
      </c>
      <c r="W64" s="23">
        <f>IF(SUM(E64:V64)&lt;M55,IF((M55-SUM(E64:V64))&lt;M55/C53,M55-SUM(E64:V64),M55/C53),0)</f>
        <v>0</v>
      </c>
      <c r="X64" s="32">
        <f>IF(SUM(E64:W64)&lt;M55,IF((M55-SUM(E64:W64))&lt;M55/C53,M55-SUM(E64:W64),M55/C53),0)</f>
        <v>0</v>
      </c>
    </row>
    <row r="65" spans="1:24" s="1" customFormat="1" ht="16.5" customHeight="1">
      <c r="A65" s="147"/>
      <c r="B65" s="22" t="s">
        <v>191</v>
      </c>
      <c r="C65" s="19"/>
      <c r="D65" s="20">
        <f t="shared" si="8"/>
        <v>0</v>
      </c>
      <c r="E65" s="23"/>
      <c r="F65" s="23"/>
      <c r="G65" s="23"/>
      <c r="H65" s="23"/>
      <c r="I65" s="23"/>
      <c r="J65" s="23"/>
      <c r="K65" s="23"/>
      <c r="L65" s="23"/>
      <c r="M65" s="23"/>
      <c r="N65" s="23">
        <f>O65*(1-N54/12)</f>
        <v>0</v>
      </c>
      <c r="O65" s="23">
        <f>N55/C53</f>
        <v>0</v>
      </c>
      <c r="P65" s="23">
        <f>IF(SUM(E65:O65)&lt;N55,IF((N55-SUM(E65:O65))&lt;N55/C53,N55-SUM(E65:O65),N55/C53),0)</f>
        <v>0</v>
      </c>
      <c r="Q65" s="23">
        <f>IF(SUM(E65:P65)&lt;N55,IF((N55-SUM(E65:P65))&lt;N55/C53,N55-SUM(E65:P65),N55/C53),0)</f>
        <v>0</v>
      </c>
      <c r="R65" s="23">
        <f>IF(SUM(E65:Q65)&lt;N55,IF((N55-SUM(E65:Q65))&lt;N55/C53,N55-SUM(E65:Q65),N55/C53),0)</f>
        <v>0</v>
      </c>
      <c r="S65" s="23">
        <f>IF(SUM(E65:R65)&lt;N55,IF((N55-SUM(E65:R65))&lt;N55/C53,N55-SUM(E65:R65),N55/C53),0)</f>
        <v>0</v>
      </c>
      <c r="T65" s="23">
        <f>IF(SUM(E65:S65)&lt;N55,IF((N55-SUM(E65:S65))&lt;N55/C53,N55-SUM(E65:S65),N55/C53),0)</f>
        <v>0</v>
      </c>
      <c r="U65" s="23">
        <f>IF(SUM(E65:T65)&lt;N55,IF((N55-SUM(E65:T65))&lt;N55/C53,N55-SUM(E65:T65),N55/C53),0)</f>
        <v>0</v>
      </c>
      <c r="V65" s="23">
        <f>IF(SUM(E65:U65)&lt;N55,IF((N55-SUM(E65:U65))&lt;N55/C53,N55-SUM(E65:U65),N55/C53),0)</f>
        <v>0</v>
      </c>
      <c r="W65" s="23">
        <f>IF(SUM(E65:V65)&lt;N55,IF((N55-SUM(E65:V65))&lt;N55/C53,N55-SUM(E65:V65),N55/C53),0)</f>
        <v>0</v>
      </c>
      <c r="X65" s="32">
        <f>IF(SUM(E65:W65)&lt;N55,IF((N55-SUM(E65:W65))&lt;N55/C53,N55-SUM(E65:W65),N55/C53),0)</f>
        <v>0</v>
      </c>
    </row>
    <row r="66" spans="1:24" s="1" customFormat="1" ht="16.5" customHeight="1">
      <c r="A66" s="147"/>
      <c r="B66" s="22" t="s">
        <v>192</v>
      </c>
      <c r="C66" s="19"/>
      <c r="D66" s="20">
        <f t="shared" si="8"/>
        <v>0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>
        <f>P66*(1-O54/12)</f>
        <v>0</v>
      </c>
      <c r="P66" s="23">
        <f>O55/C53</f>
        <v>0</v>
      </c>
      <c r="Q66" s="23">
        <f>IF(SUM(E66:P66)&lt;O55,IF((O55-SUM(E66:P66))&lt;O55/C53,O55-SUM(E66:P66),O55/C53),0)</f>
        <v>0</v>
      </c>
      <c r="R66" s="23">
        <f>IF(SUM(E66:Q66)&lt;O55,IF((O55-SUM(E66:Q66))&lt;O55/C53,O55-SUM(E66:Q66),O55/C53),0)</f>
        <v>0</v>
      </c>
      <c r="S66" s="23">
        <f>IF(SUM(E66:R66)&lt;O55,IF((O55-SUM(E66:R66))&lt;O55/C53,O55-SUM(E66:R66),O55/C53),0)</f>
        <v>0</v>
      </c>
      <c r="T66" s="23">
        <f>IF(SUM(E66:S66)&lt;O55,IF((O55-SUM(E66:S66))&lt;O55/C53,O55-SUM(E66:S66),O55/C53),0)</f>
        <v>0</v>
      </c>
      <c r="U66" s="23">
        <f>IF(SUM(E66:T66)&lt;O55,IF((O55-SUM(E66:T66))&lt;O55/C53,O55-SUM(E66:T66),O55/C53),0)</f>
        <v>0</v>
      </c>
      <c r="V66" s="23">
        <f>IF(SUM(E66:U66)&lt;O55,IF((O55-SUM(E66:U66))&lt;O55/C53,O55-SUM(E66:U66),O55/C53),0)</f>
        <v>0</v>
      </c>
      <c r="W66" s="23">
        <f>IF(SUM(E66:V66)&lt;O55,IF((O55-SUM(E66:V66))&lt;O55/C53,O55-SUM(E66:V66),O55/C53),0)</f>
        <v>0</v>
      </c>
      <c r="X66" s="32">
        <f>IF(SUM(E66:W66)&lt;O55,IF((O55-SUM(E66:W66))&lt;O55/C53,O55-SUM(E66:W66),O55/C53),0)</f>
        <v>0</v>
      </c>
    </row>
    <row r="67" spans="1:24" s="1" customFormat="1" ht="16.5" customHeight="1">
      <c r="A67" s="147"/>
      <c r="B67" s="14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5"/>
    </row>
    <row r="68" spans="1:24" s="1" customFormat="1" ht="16.5" customHeight="1">
      <c r="A68" s="147"/>
      <c r="B68" s="9" t="s">
        <v>200</v>
      </c>
      <c r="C68" s="10"/>
      <c r="D68" s="11">
        <f>SUM(E68:X68)</f>
        <v>0</v>
      </c>
      <c r="E68" s="12">
        <f>SUM(E72:E82)</f>
        <v>0</v>
      </c>
      <c r="F68" s="12">
        <f t="shared" ref="F68:X68" si="9">SUM(F72:F82)</f>
        <v>0</v>
      </c>
      <c r="G68" s="12">
        <f t="shared" si="9"/>
        <v>0</v>
      </c>
      <c r="H68" s="12">
        <f t="shared" si="9"/>
        <v>0</v>
      </c>
      <c r="I68" s="12">
        <f t="shared" si="9"/>
        <v>0</v>
      </c>
      <c r="J68" s="12">
        <f t="shared" si="9"/>
        <v>0</v>
      </c>
      <c r="K68" s="12">
        <f t="shared" si="9"/>
        <v>0</v>
      </c>
      <c r="L68" s="12">
        <f t="shared" si="9"/>
        <v>0</v>
      </c>
      <c r="M68" s="12">
        <f t="shared" si="9"/>
        <v>0</v>
      </c>
      <c r="N68" s="12">
        <f t="shared" si="9"/>
        <v>0</v>
      </c>
      <c r="O68" s="12">
        <f t="shared" si="9"/>
        <v>0</v>
      </c>
      <c r="P68" s="12">
        <f t="shared" si="9"/>
        <v>0</v>
      </c>
      <c r="Q68" s="12">
        <f t="shared" si="9"/>
        <v>0</v>
      </c>
      <c r="R68" s="12">
        <f t="shared" si="9"/>
        <v>0</v>
      </c>
      <c r="S68" s="12">
        <f t="shared" si="9"/>
        <v>0</v>
      </c>
      <c r="T68" s="12">
        <f t="shared" si="9"/>
        <v>0</v>
      </c>
      <c r="U68" s="12">
        <f t="shared" si="9"/>
        <v>0</v>
      </c>
      <c r="V68" s="12">
        <f t="shared" si="9"/>
        <v>0</v>
      </c>
      <c r="W68" s="12">
        <f t="shared" si="9"/>
        <v>0</v>
      </c>
      <c r="X68" s="30">
        <f t="shared" si="9"/>
        <v>0</v>
      </c>
    </row>
    <row r="69" spans="1:24" s="1" customFormat="1" ht="16.5" customHeight="1">
      <c r="A69" s="147"/>
      <c r="B69" s="13" t="s">
        <v>179</v>
      </c>
      <c r="C69" s="14">
        <v>5</v>
      </c>
      <c r="D69" s="140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2"/>
    </row>
    <row r="70" spans="1:24" s="1" customFormat="1" ht="16.5" customHeight="1">
      <c r="A70" s="147"/>
      <c r="B70" s="13" t="s">
        <v>180</v>
      </c>
      <c r="C70" s="15"/>
      <c r="D70" s="16"/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26"/>
      <c r="Q70" s="26"/>
      <c r="R70" s="26"/>
      <c r="S70" s="26"/>
      <c r="T70" s="26"/>
      <c r="U70" s="26"/>
      <c r="V70" s="26"/>
      <c r="W70" s="26"/>
      <c r="X70" s="31"/>
    </row>
    <row r="71" spans="1:24" s="1" customFormat="1" ht="16.5" customHeight="1">
      <c r="A71" s="147"/>
      <c r="B71" s="18" t="s">
        <v>201</v>
      </c>
      <c r="C71" s="19"/>
      <c r="D71" s="20">
        <f>SUM(E71:O71)</f>
        <v>0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26"/>
      <c r="Q71" s="26"/>
      <c r="R71" s="26"/>
      <c r="S71" s="26"/>
      <c r="T71" s="26"/>
      <c r="U71" s="26"/>
      <c r="V71" s="26"/>
      <c r="W71" s="26"/>
      <c r="X71" s="31"/>
    </row>
    <row r="72" spans="1:24" s="1" customFormat="1" ht="16.5" customHeight="1">
      <c r="A72" s="147"/>
      <c r="B72" s="22" t="s">
        <v>182</v>
      </c>
      <c r="C72" s="19"/>
      <c r="D72" s="20">
        <f t="shared" ref="D72:D82" si="10">SUM(E72:X72)</f>
        <v>0</v>
      </c>
      <c r="E72" s="23">
        <f>F72*(1-E70/12)</f>
        <v>0</v>
      </c>
      <c r="F72" s="23">
        <f>E71/C69</f>
        <v>0</v>
      </c>
      <c r="G72" s="23">
        <f>IF(SUM(E72:F72)&lt;E71,IF((E71-SUM(E72:F72))&lt;E71/C69,E71-SUM(E72:F72),E71/C69),0)</f>
        <v>0</v>
      </c>
      <c r="H72" s="23">
        <f>IF(SUM(E72:G72)&lt;E71,IF((E71-SUM(E72:G72))&lt;E71/C69,E71-SUM(E72:G72),E71/C69),0)</f>
        <v>0</v>
      </c>
      <c r="I72" s="23">
        <f>IF(SUM(E72:H72)&lt;E71,IF((E71-SUM(E72:H72))&lt;E71/C69,E71-SUM(E72:H72),E71/C69),0)</f>
        <v>0</v>
      </c>
      <c r="J72" s="23">
        <f>IF(SUM(E72:I72)&lt;E71,IF((E71-SUM(E72:I72))&lt;E71/C69,E71-SUM(E72:I72),E71/C69),0)</f>
        <v>0</v>
      </c>
      <c r="K72" s="23">
        <f>IF(SUM(E72:J72)&lt;E71,IF((E71-SUM(E72:J72))&lt;E71/C69,E71-SUM(E72:J72),E71/C69),0)</f>
        <v>0</v>
      </c>
      <c r="L72" s="23">
        <f>IF(SUM(E72:K72)&lt;E71,IF((E71-SUM(E72:K72))&lt;E71/C69,E71-SUM(E72:K72),E71/C69),0)</f>
        <v>0</v>
      </c>
      <c r="M72" s="23">
        <f>IF(SUM(E72:L72)&lt;E71,IF((E71-SUM(E72:L72))&lt;E71/C69,E71-SUM(E72:L72),E71/C69),0)</f>
        <v>0</v>
      </c>
      <c r="N72" s="23">
        <f>IF(SUM(E72:M72)&lt;E71,IF((E71-SUM(E72:M72))&lt;E71/C69,E71-SUM(E72:M72),E71/C69),0)</f>
        <v>0</v>
      </c>
      <c r="O72" s="23">
        <f>IF(SUM(E72:N72)&lt;E71,IF((E71-SUM(E72:N72))&lt;E71/C69,E71-SUM(E72:N72),E71/C69),0)</f>
        <v>0</v>
      </c>
      <c r="P72" s="23">
        <f>IF(SUM(E72:O72)&lt;E71,IF((E71-SUM(E72:O72))&lt;E71/C69,E71-SUM(E72:O72),E71/C69),0)</f>
        <v>0</v>
      </c>
      <c r="Q72" s="23">
        <f>IF(SUM(E72:P72)&lt;E71,IF((E71-SUM(E72:P72))&lt;E71/C69,E71-SUM(E72:P72),E71/C69),0)</f>
        <v>0</v>
      </c>
      <c r="R72" s="23">
        <f>IF(SUM(E72:Q72)&lt;E71,IF((E71-SUM(E72:Q72))&lt;E71/C69,E71-SUM(E72:Q72),E71/C69),0)</f>
        <v>0</v>
      </c>
      <c r="S72" s="23">
        <f>IF(SUM(E72:R72)&lt;E71,IF((E71-SUM(E72:R72))&lt;E71/C69,E71-SUM(E72:R72),E71/C69),0)</f>
        <v>0</v>
      </c>
      <c r="T72" s="23">
        <f>IF(SUM(E72:S72)&lt;E71,IF((E71-SUM(E72:S72))&lt;E71/C69,E71-SUM(E72:S72),E71/C69),0)</f>
        <v>0</v>
      </c>
      <c r="U72" s="23">
        <f>IF(SUM(E72:T72)&lt;E71,IF((E71-SUM(E72:T72))&lt;E71/C69,E71-SUM(E72:T72),E71/C69),0)</f>
        <v>0</v>
      </c>
      <c r="V72" s="23">
        <f>IF(SUM(E72:U72)&lt;E71,IF((E71-SUM(E72:U72))&lt;E71/C69,E71-SUM(E72:U72),E71/C69),0)</f>
        <v>0</v>
      </c>
      <c r="W72" s="23">
        <f>IF(SUM(E72:V72)&lt;E71,IF((E71-SUM(E72:V72))&lt;E71/C69,E71-SUM(E72:V72),E71/C69),0)</f>
        <v>0</v>
      </c>
      <c r="X72" s="32">
        <f>IF(SUM(E72:W72)&lt;E71,IF((E71-SUM(E72:W72))&lt;E71/C69,E71-SUM(E72:W72),E71/C69),0)</f>
        <v>0</v>
      </c>
    </row>
    <row r="73" spans="1:24" s="1" customFormat="1" ht="16.5" customHeight="1">
      <c r="A73" s="147"/>
      <c r="B73" s="22" t="s">
        <v>183</v>
      </c>
      <c r="C73" s="19"/>
      <c r="D73" s="20">
        <f t="shared" si="10"/>
        <v>0</v>
      </c>
      <c r="E73" s="23"/>
      <c r="F73" s="23">
        <f>G73*(1-F70/12)</f>
        <v>0</v>
      </c>
      <c r="G73" s="23">
        <f>F71/C69</f>
        <v>0</v>
      </c>
      <c r="H73" s="23">
        <f>IF(SUM(E73:G73)&lt;F71,IF((F71-SUM(E73:G73))&lt;F71/C69,F71-SUM(E73:G73),F71/C69),0)</f>
        <v>0</v>
      </c>
      <c r="I73" s="23">
        <f>IF(SUM(E73:H73)&lt;F71,IF((F71-SUM(E73:H73))&lt;F71/C69,F71-SUM(E73:H73),F71/C69),0)</f>
        <v>0</v>
      </c>
      <c r="J73" s="23">
        <f>IF(SUM(E73:I73)&lt;F71,IF((F71-SUM(E73:I73))&lt;F71/C69,F71-SUM(E73:I73),F71/C69),0)</f>
        <v>0</v>
      </c>
      <c r="K73" s="23">
        <f>IF(SUM(E73:J73)&lt;F71,IF((F71-SUM(E73:J73))&lt;F71/C69,F71-SUM(E73:J73),F71/C69),0)</f>
        <v>0</v>
      </c>
      <c r="L73" s="23">
        <f>IF(SUM(E73:K73)&lt;F71,IF((F71-SUM(E73:K73))&lt;F71/C69,F71-SUM(E73:K73),F71/C69),0)</f>
        <v>0</v>
      </c>
      <c r="M73" s="23">
        <f>IF(SUM(E73:L73)&lt;F71,IF((F71-SUM(E73:L73))&lt;F71/C69,F71-SUM(E73:L73),F71/C69),0)</f>
        <v>0</v>
      </c>
      <c r="N73" s="23">
        <f>IF(SUM(E73:M73)&lt;F71,IF((F71-SUM(E73:M73))&lt;F71/C69,F71-SUM(E73:M73),F71/C69),0)</f>
        <v>0</v>
      </c>
      <c r="O73" s="23">
        <f>IF(SUM(E73:N73)&lt;F71,IF((F71-SUM(E73:N73))&lt;F71/C69,F71-SUM(E73:N73),F71/C69),0)</f>
        <v>0</v>
      </c>
      <c r="P73" s="23">
        <f>IF(SUM(E73:O73)&lt;F71,IF((F71-SUM(E73:O73))&lt;F71/C69,F71-SUM(E73:O73),F71/C69),0)</f>
        <v>0</v>
      </c>
      <c r="Q73" s="23">
        <f>IF(SUM(E73:P73)&lt;F71,IF((F71-SUM(E73:P73))&lt;F71/C69,F71-SUM(E73:P73),F71/C69),0)</f>
        <v>0</v>
      </c>
      <c r="R73" s="23">
        <f>IF(SUM(E73:Q73)&lt;F71,IF((F71-SUM(E73:Q73))&lt;F71/C69,F71-SUM(E73:Q73),F71/C69),0)</f>
        <v>0</v>
      </c>
      <c r="S73" s="23">
        <f>IF(SUM(E73:R73)&lt;F71,IF((F71-SUM(E73:R73))&lt;F71/C69,F71-SUM(E73:R73),F71/C69),0)</f>
        <v>0</v>
      </c>
      <c r="T73" s="23">
        <f>IF(SUM(E73:S73)&lt;F71,IF((F71-SUM(E73:S73))&lt;F71/C69,F71-SUM(E73:S73),F71/C69),0)</f>
        <v>0</v>
      </c>
      <c r="U73" s="23">
        <f>IF(SUM(E73:T73)&lt;F71,IF((F71-SUM(E73:T73))&lt;F71/C69,F71-SUM(E73:T73),F71/C69),0)</f>
        <v>0</v>
      </c>
      <c r="V73" s="23">
        <f>IF(SUM(E73:U73)&lt;F71,IF((F71-SUM(E73:U73))&lt;F71/C69,F71-SUM(E73:U73),F71/C69),0)</f>
        <v>0</v>
      </c>
      <c r="W73" s="23">
        <f>IF(SUM(E73:V73)&lt;F71,IF((F71-SUM(E73:V73))&lt;F71/C69,F71-SUM(E73:V73),F71/C69),0)</f>
        <v>0</v>
      </c>
      <c r="X73" s="32">
        <f>IF(SUM(E73:W73)&lt;F71,IF((F71-SUM(E73:W73))&lt;F71/C69,F71-SUM(E73:W73),F71/C69),0)</f>
        <v>0</v>
      </c>
    </row>
    <row r="74" spans="1:24" s="1" customFormat="1" ht="16.5" customHeight="1">
      <c r="A74" s="147"/>
      <c r="B74" s="22" t="s">
        <v>184</v>
      </c>
      <c r="C74" s="19"/>
      <c r="D74" s="20">
        <f t="shared" si="10"/>
        <v>0</v>
      </c>
      <c r="E74" s="23"/>
      <c r="F74" s="23"/>
      <c r="G74" s="23">
        <f>H74*(1-G70/12)</f>
        <v>0</v>
      </c>
      <c r="H74" s="23">
        <f>G71/C69</f>
        <v>0</v>
      </c>
      <c r="I74" s="23">
        <f>IF(SUM(E74:H74)&lt;G71,IF((G71-SUM(E74:H74))&lt;G71/C69,G71-SUM(E74:H74),G71/C69),0)</f>
        <v>0</v>
      </c>
      <c r="J74" s="23">
        <f>IF(SUM(E74:I74)&lt;G71,IF((G71-SUM(E74:I74))&lt;G71/C69,G71-SUM(E74:I74),G71/C69),0)</f>
        <v>0</v>
      </c>
      <c r="K74" s="23">
        <f>IF(SUM(E74:J74)&lt;G71,IF((G71-SUM(E74:J74))&lt;G71/C69,G71-SUM(E74:J74),G71/C69),0)</f>
        <v>0</v>
      </c>
      <c r="L74" s="23">
        <f>IF(SUM(E74:K74)&lt;G71,IF((G71-SUM(E74:K74))&lt;G71/C69,G71-SUM(E74:K74),G71/C69),0)</f>
        <v>0</v>
      </c>
      <c r="M74" s="23">
        <f>IF(SUM(E74:L74)&lt;G71,IF((G71-SUM(E74:L74))&lt;G71/C69,G71-SUM(E74:L74),G71/C69),0)</f>
        <v>0</v>
      </c>
      <c r="N74" s="23">
        <f>IF(SUM(E74:M74)&lt;G71,IF((G71-SUM(E74:M74))&lt;G71/C69,G71-SUM(E74:M74),G71/C69),0)</f>
        <v>0</v>
      </c>
      <c r="O74" s="23">
        <f>IF(SUM(E74:N74)&lt;G71,IF((G71-SUM(E74:N74))&lt;G71/C69,G71-SUM(E74:N74),G71/C69),0)</f>
        <v>0</v>
      </c>
      <c r="P74" s="23">
        <f>IF(SUM(E74:O74)&lt;G71,IF((G71-SUM(E74:O74))&lt;G71/C69,G71-SUM(E74:O74),G71/C69),0)</f>
        <v>0</v>
      </c>
      <c r="Q74" s="23">
        <f>IF(SUM(E74:P74)&lt;G71,IF((G71-SUM(E74:P74))&lt;G71/C69,G71-SUM(E74:P74),G71/C69),0)</f>
        <v>0</v>
      </c>
      <c r="R74" s="23">
        <f>IF(SUM(E74:Q74)&lt;G71,IF((G71-SUM(E74:Q74))&lt;G71/C69,G71-SUM(E74:Q74),G71/C69),0)</f>
        <v>0</v>
      </c>
      <c r="S74" s="23">
        <f>IF(SUM(E74:R74)&lt;G71,IF((G71-SUM(E74:R74))&lt;G71/C69,G71-SUM(E74:R74),G71/C69),0)</f>
        <v>0</v>
      </c>
      <c r="T74" s="23">
        <f>IF(SUM(E74:S74)&lt;G71,IF((G71-SUM(E74:S74))&lt;G71/C69,G71-SUM(E74:S74),G71/C69),0)</f>
        <v>0</v>
      </c>
      <c r="U74" s="23">
        <f>IF(SUM(E74:T74)&lt;G71,IF((G71-SUM(E74:T74))&lt;G71/C69,G71-SUM(E74:T74),G71/C69),0)</f>
        <v>0</v>
      </c>
      <c r="V74" s="23">
        <f>IF(SUM(E74:U74)&lt;G71,IF((G71-SUM(E74:U74))&lt;G71/C69,G71-SUM(E74:U74),G71/C69),0)</f>
        <v>0</v>
      </c>
      <c r="W74" s="23">
        <f>IF(SUM(E74:V74)&lt;G71,IF((G71-SUM(E74:V74))&lt;G71/C69,G71-SUM(E74:V74),G71/C69),0)</f>
        <v>0</v>
      </c>
      <c r="X74" s="32">
        <f>IF(SUM(E74:W74)&lt;G71,IF((G71-SUM(E74:W74))&lt;G71/C69,G71-SUM(E74:W74),G71/C69),0)</f>
        <v>0</v>
      </c>
    </row>
    <row r="75" spans="1:24" s="1" customFormat="1" ht="16.5" customHeight="1">
      <c r="A75" s="147"/>
      <c r="B75" s="22" t="s">
        <v>185</v>
      </c>
      <c r="C75" s="19"/>
      <c r="D75" s="20">
        <f t="shared" si="10"/>
        <v>0</v>
      </c>
      <c r="E75" s="23"/>
      <c r="F75" s="23"/>
      <c r="G75" s="23"/>
      <c r="H75" s="23">
        <f>I75*(1-H70/12)</f>
        <v>0</v>
      </c>
      <c r="I75" s="23">
        <f>H71/C69</f>
        <v>0</v>
      </c>
      <c r="J75" s="23">
        <f>IF(SUM(E75:I75)&lt;H71,IF((H71-SUM(E75:I75))&lt;H71/C69,H71-SUM(E75:I75),H71/C69),0)</f>
        <v>0</v>
      </c>
      <c r="K75" s="23">
        <f>IF(SUM(E75:J75)&lt;H71,IF((H71-SUM(E75:J75))&lt;H71/C69,H71-SUM(E75:J75),H71/C69),0)</f>
        <v>0</v>
      </c>
      <c r="L75" s="23">
        <f>IF(SUM(E75:K75)&lt;H71,IF((H71-SUM(E75:K75))&lt;H71/C69,H71-SUM(E75:K75),H71/C69),0)</f>
        <v>0</v>
      </c>
      <c r="M75" s="23">
        <f>IF(SUM(E75:L75)&lt;H71,IF((H71-SUM(E75:L75))&lt;H71/C69,H71-SUM(E75:L75),H71/C69),0)</f>
        <v>0</v>
      </c>
      <c r="N75" s="23">
        <f>IF(SUM(E75:M75)&lt;H71,IF((H71-SUM(E75:M75))&lt;H71/C69,H71-SUM(E75:M75),H71/C69),0)</f>
        <v>0</v>
      </c>
      <c r="O75" s="23">
        <f>IF(SUM(E75:N75)&lt;H71,IF((H71-SUM(E75:N75))&lt;H71/C69,H71-SUM(E75:N75),H71/C69),0)</f>
        <v>0</v>
      </c>
      <c r="P75" s="23">
        <f>IF(SUM(E75:O75)&lt;H71,IF((H71-SUM(E75:O75))&lt;H71/C69,H71-SUM(E75:O75),H71/C69),0)</f>
        <v>0</v>
      </c>
      <c r="Q75" s="23">
        <f>IF(SUM(E75:P75)&lt;H71,IF((H71-SUM(E75:P75))&lt;H71/C69,H71-SUM(E75:P75),H71/C69),0)</f>
        <v>0</v>
      </c>
      <c r="R75" s="23">
        <f>IF(SUM(E75:Q75)&lt;H71,IF((H71-SUM(E75:Q75))&lt;H71/C69,H71-SUM(E75:Q75),H71/C69),0)</f>
        <v>0</v>
      </c>
      <c r="S75" s="23">
        <f>IF(SUM(E75:R75)&lt;H71,IF((H71-SUM(E75:R75))&lt;H71/C69,H71-SUM(E75:R75),H71/C69),0)</f>
        <v>0</v>
      </c>
      <c r="T75" s="23">
        <f>IF(SUM(E75:S75)&lt;H71,IF((H71-SUM(E75:S75))&lt;H71/C69,H71-SUM(E75:S75),H71/C69),0)</f>
        <v>0</v>
      </c>
      <c r="U75" s="23">
        <f>IF(SUM(E75:T75)&lt;H71,IF((H71-SUM(E75:T75))&lt;H71/C69,H71-SUM(E75:T75),H71/C69),0)</f>
        <v>0</v>
      </c>
      <c r="V75" s="23">
        <f>IF(SUM(E75:U75)&lt;H71,IF((H71-SUM(E75:U75))&lt;H71/C69,H71-SUM(E75:U75),H71/C69),0)</f>
        <v>0</v>
      </c>
      <c r="W75" s="23">
        <f>IF(SUM(E75:V75)&lt;H71,IF((H71-SUM(E75:V75))&lt;H71/C69,H71-SUM(E75:V75),H71/C69),0)</f>
        <v>0</v>
      </c>
      <c r="X75" s="32">
        <f>IF(SUM(E75:W75)&lt;H71,IF((H71-SUM(E75:W75))&lt;H71/C69,H71-SUM(E75:W75),H71/C69),0)</f>
        <v>0</v>
      </c>
    </row>
    <row r="76" spans="1:24" s="1" customFormat="1" ht="16.5" customHeight="1">
      <c r="A76" s="147"/>
      <c r="B76" s="22" t="s">
        <v>186</v>
      </c>
      <c r="C76" s="19"/>
      <c r="D76" s="20">
        <f t="shared" si="10"/>
        <v>0</v>
      </c>
      <c r="E76" s="23"/>
      <c r="F76" s="23"/>
      <c r="G76" s="23"/>
      <c r="H76" s="23"/>
      <c r="I76" s="23">
        <f>J76*(1-I70/12)</f>
        <v>0</v>
      </c>
      <c r="J76" s="23">
        <f>I71/C69</f>
        <v>0</v>
      </c>
      <c r="K76" s="23">
        <f>IF(SUM(E76:J76)&lt;I71,IF((I71-SUM(E76:J76))&lt;I71/C69,I71-SUM(E76:J76),I71/C69),0)</f>
        <v>0</v>
      </c>
      <c r="L76" s="23">
        <f>IF(SUM(E76:K76)&lt;I71,IF((I71-SUM(E76:K76))&lt;I71/C69,I71-SUM(E76:K76),I71/C69),0)</f>
        <v>0</v>
      </c>
      <c r="M76" s="23">
        <f>IF(SUM(E76:L76)&lt;I71,IF((I71-SUM(E76:L76))&lt;I71/C69,I71-SUM(E76:L76),I71/C69),0)</f>
        <v>0</v>
      </c>
      <c r="N76" s="23">
        <f>IF(SUM(E76:M76)&lt;I71,IF((I71-SUM(E76:M76))&lt;I71/C69,I71-SUM(E76:M76),I71/C69),0)</f>
        <v>0</v>
      </c>
      <c r="O76" s="23">
        <f>IF(SUM(E76:N76)&lt;I71,IF((I71-SUM(E76:N76))&lt;I71/C69,I71-SUM(E76:N76),I71/C69),0)</f>
        <v>0</v>
      </c>
      <c r="P76" s="23">
        <f>IF(SUM(E76:O76)&lt;I71,IF((I71-SUM(E76:O76))&lt;I71/C69,I71-SUM(E76:O76),I71/C69),0)</f>
        <v>0</v>
      </c>
      <c r="Q76" s="23">
        <f>IF(SUM(E76:P76)&lt;I71,IF((I71-SUM(E76:P76))&lt;I71/C69,I71-SUM(E76:P76),I71/C69),0)</f>
        <v>0</v>
      </c>
      <c r="R76" s="23">
        <f>IF(SUM(E76:Q76)&lt;I71,IF((I71-SUM(E76:Q76))&lt;I71/C69,I71-SUM(E76:Q76),I71/C69),0)</f>
        <v>0</v>
      </c>
      <c r="S76" s="23">
        <f>IF(SUM(E76:R76)&lt;I71,IF((I71-SUM(E76:R76))&lt;I71/C69,I71-SUM(E76:R76),I71/C69),0)</f>
        <v>0</v>
      </c>
      <c r="T76" s="23">
        <f>IF(SUM(E76:S76)&lt;I71,IF((I71-SUM(E76:S76))&lt;I71/C69,I71-SUM(E76:S76),I71/C69),0)</f>
        <v>0</v>
      </c>
      <c r="U76" s="23">
        <f>IF(SUM(E76:T76)&lt;I71,IF((I71-SUM(E76:T76))&lt;I71/C69,I71-SUM(E76:T76),I71/C69),0)</f>
        <v>0</v>
      </c>
      <c r="V76" s="23">
        <f>IF(SUM(E76:U76)&lt;I71,IF((I71-SUM(E76:U76))&lt;I71/C69,I71-SUM(E76:U76),I71/C69),0)</f>
        <v>0</v>
      </c>
      <c r="W76" s="23">
        <f>IF(SUM(E76:V76)&lt;I71,IF((I71-SUM(E76:V76))&lt;I71/C69,I71-SUM(E76:V76),I71/C69),0)</f>
        <v>0</v>
      </c>
      <c r="X76" s="32">
        <f>IF(SUM(E76:W76)&lt;I71,IF((I71-SUM(E76:W76))&lt;I71/C69,I71-SUM(E76:W76),I71/C69),0)</f>
        <v>0</v>
      </c>
    </row>
    <row r="77" spans="1:24" s="1" customFormat="1" ht="16.5" customHeight="1">
      <c r="A77" s="147"/>
      <c r="B77" s="22" t="s">
        <v>187</v>
      </c>
      <c r="C77" s="19"/>
      <c r="D77" s="20">
        <f t="shared" si="10"/>
        <v>0</v>
      </c>
      <c r="E77" s="23"/>
      <c r="F77" s="23"/>
      <c r="G77" s="23"/>
      <c r="H77" s="23"/>
      <c r="I77" s="23"/>
      <c r="J77" s="23">
        <f>K77*(1-J70/12)</f>
        <v>0</v>
      </c>
      <c r="K77" s="23">
        <f>J71/C69</f>
        <v>0</v>
      </c>
      <c r="L77" s="23">
        <f>IF(SUM(E77:K77)&lt;J71,IF((J71-SUM(E77:K77))&lt;J71/C69,J71-SUM(E77:K77),J71/C69),0)</f>
        <v>0</v>
      </c>
      <c r="M77" s="23">
        <f>IF(SUM(E77:L77)&lt;J71,IF((J71-SUM(E77:L77))&lt;J71/C69,J71-SUM(E77:L77),J71/C69),0)</f>
        <v>0</v>
      </c>
      <c r="N77" s="23">
        <f>IF(SUM(E77:M77)&lt;J71,IF((J71-SUM(E77:M77))&lt;J71/C69,J71-SUM(E77:M77),J71/C69),0)</f>
        <v>0</v>
      </c>
      <c r="O77" s="23">
        <f>IF(SUM(E77:N77)&lt;J71,IF((J71-SUM(E77:N77))&lt;J71/C69,J71-SUM(E77:N77),J71/C69),0)</f>
        <v>0</v>
      </c>
      <c r="P77" s="23">
        <f>IF(SUM(E77:O77)&lt;J71,IF((J71-SUM(E77:O77))&lt;J71/C69,J71-SUM(E77:O77),J71/C69),0)</f>
        <v>0</v>
      </c>
      <c r="Q77" s="23">
        <f>IF(SUM(E77:P77)&lt;J71,IF((J71-SUM(E77:P77))&lt;J71/C69,J71-SUM(E77:P77),J71/C69),0)</f>
        <v>0</v>
      </c>
      <c r="R77" s="23">
        <f>IF(SUM(E77:Q77)&lt;J71,IF((J71-SUM(E77:Q77))&lt;J71/C69,J71-SUM(E77:Q77),J71/C69),0)</f>
        <v>0</v>
      </c>
      <c r="S77" s="23">
        <f>IF(SUM(E77:R77)&lt;J71,IF((J71-SUM(E77:R77))&lt;J71/C69,J71-SUM(E77:R77),J71/C69),0)</f>
        <v>0</v>
      </c>
      <c r="T77" s="23">
        <f>IF(SUM(E77:S77)&lt;J71,IF((J71-SUM(E77:S77))&lt;J71/C69,J71-SUM(E77:S77),J71/C69),0)</f>
        <v>0</v>
      </c>
      <c r="U77" s="23">
        <f>IF(SUM(E77:T77)&lt;J71,IF((J71-SUM(E77:T77))&lt;J71/C69,J71-SUM(E77:T77),J71/C69),0)</f>
        <v>0</v>
      </c>
      <c r="V77" s="23">
        <f>IF(SUM(E77:U77)&lt;J71,IF((J71-SUM(E77:U77))&lt;J71/C69,J71-SUM(E77:U77),J71/C69),0)</f>
        <v>0</v>
      </c>
      <c r="W77" s="23">
        <f>IF(SUM(E77:V77)&lt;J71,IF((J71-SUM(E77:V77))&lt;J71/C69,J71-SUM(E77:V77),J71/C69),0)</f>
        <v>0</v>
      </c>
      <c r="X77" s="32">
        <f>IF(SUM(E77:W77)&lt;J71,IF((J71-SUM(E77:W77))&lt;J71/C69,J71-SUM(E77:W77),J71/C69),0)</f>
        <v>0</v>
      </c>
    </row>
    <row r="78" spans="1:24" s="1" customFormat="1" ht="16.5" customHeight="1">
      <c r="A78" s="147"/>
      <c r="B78" s="22" t="s">
        <v>188</v>
      </c>
      <c r="C78" s="19"/>
      <c r="D78" s="20">
        <f t="shared" si="10"/>
        <v>0</v>
      </c>
      <c r="E78" s="23"/>
      <c r="F78" s="23"/>
      <c r="G78" s="23"/>
      <c r="H78" s="23"/>
      <c r="I78" s="23"/>
      <c r="J78" s="23"/>
      <c r="K78" s="23">
        <f>L78*(1-K70/12)</f>
        <v>0</v>
      </c>
      <c r="L78" s="23">
        <f>K71/C69</f>
        <v>0</v>
      </c>
      <c r="M78" s="23">
        <f>IF(SUM(E78:L78)&lt;K71,IF((K71-SUM(E78:L78))&lt;K71/C69,K71-SUM(E78:L78),K71/C69),0)</f>
        <v>0</v>
      </c>
      <c r="N78" s="23">
        <f>IF(SUM(E78:M78)&lt;K71,IF((K71-SUM(E78:M78))&lt;K71/C69,K71-SUM(E78:M78),K71/C69),0)</f>
        <v>0</v>
      </c>
      <c r="O78" s="23">
        <f>IF(SUM(E78:N78)&lt;K71,IF((K71-SUM(E78:N78))&lt;K71/C69,K71-SUM(E78:N78),K71/C69),0)</f>
        <v>0</v>
      </c>
      <c r="P78" s="23">
        <f>IF(SUM(E78:O78)&lt;K71,IF((K71-SUM(E78:O78))&lt;K71/C69,K71-SUM(E78:O78),K71/C69),0)</f>
        <v>0</v>
      </c>
      <c r="Q78" s="23">
        <f>IF(SUM(E78:P78)&lt;K71,IF((K71-SUM(E78:P78))&lt;K71/C69,K71-SUM(E78:P78),K71/C69),0)</f>
        <v>0</v>
      </c>
      <c r="R78" s="23">
        <f>IF(SUM(E78:Q78)&lt;K71,IF((K71-SUM(E78:Q78))&lt;K71/C69,K71-SUM(E78:Q78),K71/C69),0)</f>
        <v>0</v>
      </c>
      <c r="S78" s="23">
        <f>IF(SUM(E78:R78)&lt;K71,IF((K71-SUM(E78:R78))&lt;K71/C69,K71-SUM(E78:R78),K71/C69),0)</f>
        <v>0</v>
      </c>
      <c r="T78" s="23">
        <f>IF(SUM(E78:S78)&lt;K71,IF((K71-SUM(E78:S78))&lt;K71/C69,K71-SUM(E78:S78),K71/C69),0)</f>
        <v>0</v>
      </c>
      <c r="U78" s="23">
        <f>IF(SUM(E78:T78)&lt;K71,IF((K71-SUM(E78:T78))&lt;K71/C69,K71-SUM(E78:T78),K71/C69),0)</f>
        <v>0</v>
      </c>
      <c r="V78" s="23">
        <f>IF(SUM(E78:U78)&lt;K71,IF((K71-SUM(E78:U78))&lt;K71/C69,K71-SUM(E78:U78),K71/C69),0)</f>
        <v>0</v>
      </c>
      <c r="W78" s="23">
        <f>IF(SUM(E78:V78)&lt;K71,IF((K71-SUM(E78:V78))&lt;K71/C69,K71-SUM(E78:V78),K71/C69),0)</f>
        <v>0</v>
      </c>
      <c r="X78" s="32">
        <f>IF(SUM(E78:W78)&lt;K71,IF((K71-SUM(E78:W78))&lt;K71/C69,K71-SUM(E78:W78),K71/C69),0)</f>
        <v>0</v>
      </c>
    </row>
    <row r="79" spans="1:24" s="1" customFormat="1" ht="16.5" customHeight="1">
      <c r="A79" s="147"/>
      <c r="B79" s="22" t="s">
        <v>189</v>
      </c>
      <c r="C79" s="19"/>
      <c r="D79" s="20">
        <f t="shared" si="10"/>
        <v>0</v>
      </c>
      <c r="E79" s="23"/>
      <c r="F79" s="23"/>
      <c r="G79" s="23"/>
      <c r="H79" s="23"/>
      <c r="I79" s="23"/>
      <c r="J79" s="23"/>
      <c r="K79" s="23"/>
      <c r="L79" s="23">
        <f>M79*(1-L70/12)</f>
        <v>0</v>
      </c>
      <c r="M79" s="23">
        <f>L71/C69</f>
        <v>0</v>
      </c>
      <c r="N79" s="23">
        <f>IF(SUM(E79:M79)&lt;L71,IF((L71-SUM(E79:M79))&lt;L71/C69,L71-SUM(E79:M79),L71/C69),0)</f>
        <v>0</v>
      </c>
      <c r="O79" s="23">
        <f>IF(SUM(E79:N79)&lt;L71,IF((L71-SUM(E79:N79))&lt;L71/C69,L71-SUM(E79:N79),L71/C69),0)</f>
        <v>0</v>
      </c>
      <c r="P79" s="23">
        <f>IF(SUM(E79:O79)&lt;L71,IF((L71-SUM(E79:O79))&lt;L71/C69,L71-SUM(E79:O79),L71/C69),0)</f>
        <v>0</v>
      </c>
      <c r="Q79" s="23">
        <f>IF(SUM(E79:P79)&lt;L71,IF((L71-SUM(E79:P79))&lt;L71/C69,L71-SUM(E79:P79),L71/C69),0)</f>
        <v>0</v>
      </c>
      <c r="R79" s="23">
        <f>IF(SUM(E79:Q79)&lt;L71,IF((L71-SUM(E79:Q79))&lt;L71/C69,L71-SUM(E79:Q79),L71/C69),0)</f>
        <v>0</v>
      </c>
      <c r="S79" s="23">
        <f>IF(SUM(E79:R79)&lt;L71,IF((L71-SUM(E79:R79))&lt;L71/C69,L71-SUM(E79:R79),L71/C69),0)</f>
        <v>0</v>
      </c>
      <c r="T79" s="23">
        <f>IF(SUM(E79:S79)&lt;L71,IF((L71-SUM(E79:S79))&lt;L71/C69,L71-SUM(E79:S79),L71/C69),0)</f>
        <v>0</v>
      </c>
      <c r="U79" s="23">
        <f>IF(SUM(E79:T79)&lt;L71,IF((L71-SUM(E79:T79))&lt;L71/C69,L71-SUM(E79:T79),L71/C69),0)</f>
        <v>0</v>
      </c>
      <c r="V79" s="23">
        <f>IF(SUM(E79:U79)&lt;L71,IF((L71-SUM(E79:U79))&lt;L71/C69,L71-SUM(E79:U79),L71/C69),0)</f>
        <v>0</v>
      </c>
      <c r="W79" s="23">
        <f>IF(SUM(E79:V79)&lt;L71,IF((L71-SUM(E79:V79))&lt;L71/C69,L71-SUM(E79:V79),L71/C69),0)</f>
        <v>0</v>
      </c>
      <c r="X79" s="32">
        <f>IF(SUM(E79:W79)&lt;L71,IF((L71-SUM(E79:W79))&lt;L71/C69,L71-SUM(E79:W79),L71/C69),0)</f>
        <v>0</v>
      </c>
    </row>
    <row r="80" spans="1:24" s="1" customFormat="1" ht="16.5" customHeight="1">
      <c r="A80" s="147"/>
      <c r="B80" s="22" t="s">
        <v>190</v>
      </c>
      <c r="C80" s="19"/>
      <c r="D80" s="20">
        <f t="shared" si="10"/>
        <v>0</v>
      </c>
      <c r="E80" s="23"/>
      <c r="F80" s="23"/>
      <c r="G80" s="23"/>
      <c r="H80" s="23"/>
      <c r="I80" s="23"/>
      <c r="J80" s="23"/>
      <c r="K80" s="23"/>
      <c r="L80" s="23"/>
      <c r="M80" s="23">
        <f>N80*(1-M70/12)</f>
        <v>0</v>
      </c>
      <c r="N80" s="23">
        <f>M71/C69</f>
        <v>0</v>
      </c>
      <c r="O80" s="23">
        <f>IF(SUM(E80:N80)&lt;M71,IF((M71-SUM(E80:N80))&lt;M71/C69,M71-SUM(E80:N80),M71/C69),0)</f>
        <v>0</v>
      </c>
      <c r="P80" s="23">
        <f>IF(SUM(E80:O80)&lt;M71,IF((M71-SUM(E80:O80))&lt;M71/C69,M71-SUM(E80:O80),M71/C69),0)</f>
        <v>0</v>
      </c>
      <c r="Q80" s="23">
        <f>IF(SUM(E80:P80)&lt;M71,IF((M71-SUM(E80:P80))&lt;M71/C69,M71-SUM(E80:P80),M71/C69),0)</f>
        <v>0</v>
      </c>
      <c r="R80" s="23">
        <f>IF(SUM(E80:Q80)&lt;M71,IF((M71-SUM(E80:Q80))&lt;M71/C69,M71-SUM(E80:Q80),M71/C69),0)</f>
        <v>0</v>
      </c>
      <c r="S80" s="23">
        <f>IF(SUM(E80:R80)&lt;M71,IF((M71-SUM(E80:R80))&lt;M71/C69,M71-SUM(E80:R80),M71/C69),0)</f>
        <v>0</v>
      </c>
      <c r="T80" s="23">
        <f>IF(SUM(E80:S80)&lt;M71,IF((M71-SUM(E80:S80))&lt;M71/C69,M71-SUM(E80:S80),M71/C69),0)</f>
        <v>0</v>
      </c>
      <c r="U80" s="23">
        <f>IF(SUM(E80:T80)&lt;M71,IF((M71-SUM(E80:T80))&lt;M71/C69,M71-SUM(E80:T80),M71/C69),0)</f>
        <v>0</v>
      </c>
      <c r="V80" s="23">
        <f>IF(SUM(E80:U80)&lt;M71,IF((M71-SUM(E80:U80))&lt;M71/C69,M71-SUM(E80:U80),M71/C69),0)</f>
        <v>0</v>
      </c>
      <c r="W80" s="23">
        <f>IF(SUM(E80:V80)&lt;M71,IF((M71-SUM(E80:V80))&lt;M71/C69,M71-SUM(E80:V80),M71/C69),0)</f>
        <v>0</v>
      </c>
      <c r="X80" s="32">
        <f>IF(SUM(E80:W80)&lt;M71,IF((M71-SUM(E80:W80))&lt;M71/C69,M71-SUM(E80:W80),M71/C69),0)</f>
        <v>0</v>
      </c>
    </row>
    <row r="81" spans="1:24" s="1" customFormat="1" ht="16.5" customHeight="1">
      <c r="A81" s="147"/>
      <c r="B81" s="22" t="s">
        <v>191</v>
      </c>
      <c r="C81" s="19"/>
      <c r="D81" s="20">
        <f t="shared" si="10"/>
        <v>0</v>
      </c>
      <c r="E81" s="23"/>
      <c r="F81" s="23"/>
      <c r="G81" s="23"/>
      <c r="H81" s="23"/>
      <c r="I81" s="23"/>
      <c r="J81" s="23"/>
      <c r="K81" s="23"/>
      <c r="L81" s="23"/>
      <c r="M81" s="23"/>
      <c r="N81" s="23">
        <f>O81*(1-N70/12)</f>
        <v>0</v>
      </c>
      <c r="O81" s="23">
        <f>N71/C69</f>
        <v>0</v>
      </c>
      <c r="P81" s="23">
        <f>IF(SUM(E81:O81)&lt;N71,IF((N71-SUM(E81:O81))&lt;N71/C69,N71-SUM(E81:O81),N71/C69),0)</f>
        <v>0</v>
      </c>
      <c r="Q81" s="23">
        <f>IF(SUM(E81:P81)&lt;N71,IF((N71-SUM(E81:P81))&lt;N71/C69,N71-SUM(E81:P81),N71/C69),0)</f>
        <v>0</v>
      </c>
      <c r="R81" s="23">
        <f>IF(SUM(E81:Q81)&lt;N71,IF((N71-SUM(E81:Q81))&lt;N71/C69,N71-SUM(E81:Q81),N71/C69),0)</f>
        <v>0</v>
      </c>
      <c r="S81" s="23">
        <f>IF(SUM(E81:R81)&lt;N71,IF((N71-SUM(E81:R81))&lt;N71/C69,N71-SUM(E81:R81),N71/C69),0)</f>
        <v>0</v>
      </c>
      <c r="T81" s="23">
        <f>IF(SUM(E81:S81)&lt;N71,IF((N71-SUM(E81:S81))&lt;N71/C69,N71-SUM(E81:S81),N71/C69),0)</f>
        <v>0</v>
      </c>
      <c r="U81" s="23">
        <f>IF(SUM(E81:T81)&lt;N71,IF((N71-SUM(E81:T81))&lt;N71/C69,N71-SUM(E81:T81),N71/C69),0)</f>
        <v>0</v>
      </c>
      <c r="V81" s="23">
        <f>IF(SUM(E81:U81)&lt;N71,IF((N71-SUM(E81:U81))&lt;N71/C69,N71-SUM(E81:U81),N71/C69),0)</f>
        <v>0</v>
      </c>
      <c r="W81" s="23">
        <f>IF(SUM(E81:V81)&lt;N71,IF((N71-SUM(E81:V81))&lt;N71/C69,N71-SUM(E81:V81),N71/C69),0)</f>
        <v>0</v>
      </c>
      <c r="X81" s="32">
        <f>IF(SUM(E81:W81)&lt;N71,IF((N71-SUM(E81:W81))&lt;N71/C69,N71-SUM(E81:W81),N71/C69),0)</f>
        <v>0</v>
      </c>
    </row>
    <row r="82" spans="1:24" s="1" customFormat="1" ht="16.5" customHeight="1">
      <c r="A82" s="148"/>
      <c r="B82" s="25" t="s">
        <v>192</v>
      </c>
      <c r="C82" s="34"/>
      <c r="D82" s="35">
        <f t="shared" si="10"/>
        <v>0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>
        <f>P82*(1-O70/12)</f>
        <v>0</v>
      </c>
      <c r="P82" s="36">
        <f>O71/C69</f>
        <v>0</v>
      </c>
      <c r="Q82" s="36">
        <f>IF(SUM(E82:P82)&lt;O71,IF((O71-SUM(E82:P82))&lt;O71/C69,O71-SUM(E82:P82),O71/C69),0)</f>
        <v>0</v>
      </c>
      <c r="R82" s="36">
        <f>IF(SUM(E82:Q82)&lt;O71,IF((O71-SUM(E82:Q82))&lt;O71/C69,O71-SUM(E82:Q82),O71/C69),0)</f>
        <v>0</v>
      </c>
      <c r="S82" s="36">
        <f>IF(SUM(E82:R82)&lt;O71,IF((O71-SUM(E82:R82))&lt;O71/C69,O71-SUM(E82:R82),O71/C69),0)</f>
        <v>0</v>
      </c>
      <c r="T82" s="36">
        <f>IF(SUM(E82:S82)&lt;O71,IF((O71-SUM(E82:S82))&lt;O71/C69,O71-SUM(E82:S82),O71/C69),0)</f>
        <v>0</v>
      </c>
      <c r="U82" s="36">
        <f>IF(SUM(E82:T82)&lt;O71,IF((O71-SUM(E82:T82))&lt;O71/C69,O71-SUM(E82:T82),O71/C69),0)</f>
        <v>0</v>
      </c>
      <c r="V82" s="36">
        <f>IF(SUM(E82:U82)&lt;O71,IF((O71-SUM(E82:U82))&lt;O71/C69,O71-SUM(E82:U82),O71/C69),0)</f>
        <v>0</v>
      </c>
      <c r="W82" s="36">
        <f>IF(SUM(E82:V82)&lt;O71,IF((O71-SUM(E82:V82))&lt;O71/C69,O71-SUM(E82:V82),O71/C69),0)</f>
        <v>0</v>
      </c>
      <c r="X82" s="37">
        <f>IF(SUM(E82:W82)&lt;O71,IF((O71-SUM(E82:W82))&lt;O71/C69,O71-SUM(E82:W82),O71/C69),0)</f>
        <v>0</v>
      </c>
    </row>
    <row r="83" spans="1:24" ht="16.5" customHeight="1"/>
  </sheetData>
  <mergeCells count="9">
    <mergeCell ref="D53:X53"/>
    <mergeCell ref="B67:X67"/>
    <mergeCell ref="D69:X69"/>
    <mergeCell ref="A2:A82"/>
    <mergeCell ref="A1:C1"/>
    <mergeCell ref="D5:X5"/>
    <mergeCell ref="D21:X21"/>
    <mergeCell ref="D37:X37"/>
    <mergeCell ref="B51:X51"/>
  </mergeCells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填表说明</vt:lpstr>
      <vt:lpstr>政企项目投资效益评估表</vt:lpstr>
      <vt:lpstr>折旧和摊销计算表</vt:lpstr>
      <vt:lpstr>政企项目投资效益评估表!Print_Area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hsy</dc:creator>
  <cp:lastModifiedBy>shuyue han</cp:lastModifiedBy>
  <dcterms:created xsi:type="dcterms:W3CDTF">2006-09-13T11:21:00Z</dcterms:created>
  <dcterms:modified xsi:type="dcterms:W3CDTF">2026-09-11T08:20:31Z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CE9D83FB63134AF68E51AF7E251150FB_13</vt:lpwstr>
  </property>
</Properties>
</file>